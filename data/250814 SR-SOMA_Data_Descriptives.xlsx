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ludvi\OneDrive\Skrivebord\Master sources\Dataset &amp; Codebook\"/>
    </mc:Choice>
  </mc:AlternateContent>
  <xr:revisionPtr revIDLastSave="0" documentId="13_ncr:1_{4EFDF095-7E0E-4C0F-A664-249C865E3E19}" xr6:coauthVersionLast="47" xr6:coauthVersionMax="47" xr10:uidLastSave="{00000000-0000-0000-0000-000000000000}"/>
  <bookViews>
    <workbookView xWindow="-120" yWindow="-120" windowWidth="29040" windowHeight="15720" firstSheet="3" activeTab="7" xr2:uid="{79E3A345-7472-0C44-9D35-612AB53ADBA8}"/>
  </bookViews>
  <sheets>
    <sheet name="Data" sheetId="1" r:id="rId1"/>
    <sheet name="Bar chart" sheetId="7" r:id="rId2"/>
    <sheet name="Sheet4" sheetId="5" r:id="rId3"/>
    <sheet name="Sheet3" sheetId="4" r:id="rId4"/>
    <sheet name="Sheet1" sheetId="2" r:id="rId5"/>
    <sheet name="Sheet2" sheetId="3" r:id="rId6"/>
    <sheet name="List of included studies" sheetId="6" r:id="rId7"/>
    <sheet name="Checklist Results" sheetId="8" r:id="rId8"/>
  </sheets>
  <definedNames>
    <definedName name="_xlchart.v1.0" hidden="1">'Bar chart'!$D$4:$D$65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66" i="1" l="1"/>
  <c r="BJ66" i="1"/>
  <c r="AG66" i="1"/>
  <c r="CE66" i="1"/>
  <c r="DJ66" i="1"/>
  <c r="BO67" i="1"/>
  <c r="BP67" i="1"/>
  <c r="BQ67" i="1"/>
  <c r="BR67" i="1"/>
  <c r="BN67" i="1"/>
  <c r="BN66" i="1"/>
  <c r="BO66" i="1"/>
  <c r="BP66" i="1"/>
  <c r="BQ66" i="1"/>
  <c r="BR66" i="1"/>
  <c r="DQ66" i="1"/>
  <c r="DR66" i="1"/>
  <c r="DS66" i="1"/>
  <c r="DT66" i="1"/>
  <c r="DU66" i="1"/>
  <c r="DP66" i="1"/>
  <c r="D75" i="7"/>
  <c r="D76" i="7"/>
  <c r="D77" i="7"/>
  <c r="D78" i="7"/>
  <c r="D79" i="7"/>
  <c r="D80" i="7"/>
  <c r="D81" i="7"/>
  <c r="D82" i="7"/>
  <c r="D83" i="7"/>
  <c r="D84" i="7"/>
  <c r="D85" i="7"/>
  <c r="D86" i="7"/>
  <c r="D87" i="7"/>
  <c r="D88" i="7"/>
  <c r="D89" i="7"/>
  <c r="D90" i="7"/>
  <c r="D91" i="7"/>
  <c r="D92" i="7"/>
  <c r="D93" i="7"/>
  <c r="D94" i="7"/>
  <c r="D95" i="7"/>
  <c r="D96" i="7"/>
  <c r="D97" i="7"/>
  <c r="D74" i="7"/>
  <c r="D73" i="7"/>
  <c r="D72" i="7"/>
  <c r="D71" i="7"/>
  <c r="D70" i="7"/>
  <c r="D69" i="7"/>
  <c r="X66" i="1"/>
  <c r="Y66" i="1"/>
  <c r="Z66" i="1"/>
  <c r="AA66" i="1"/>
  <c r="AB66" i="1"/>
  <c r="AC66" i="1"/>
  <c r="X67" i="1"/>
  <c r="Y67" i="1"/>
  <c r="Z67" i="1"/>
  <c r="AA67" i="1"/>
  <c r="AB67" i="1"/>
  <c r="AC67" i="1"/>
  <c r="X68" i="1"/>
  <c r="Y68" i="1"/>
  <c r="Z68" i="1"/>
  <c r="AA68" i="1"/>
  <c r="AB68" i="1"/>
  <c r="AC68" i="1"/>
  <c r="X69" i="1"/>
  <c r="Y69" i="1"/>
  <c r="Z69" i="1"/>
  <c r="AA69" i="1"/>
  <c r="AB69" i="1"/>
  <c r="AC69" i="1"/>
  <c r="W69" i="1"/>
  <c r="W68" i="1"/>
  <c r="W66" i="1"/>
  <c r="W67" i="1"/>
  <c r="BL68" i="1"/>
  <c r="BL67" i="1"/>
  <c r="BJ68" i="1"/>
  <c r="BJ67" i="1"/>
  <c r="F69" i="1"/>
  <c r="F68" i="1"/>
  <c r="F67" i="1"/>
  <c r="Z43" i="1"/>
  <c r="Y43" i="1"/>
  <c r="Z42" i="1" l="1"/>
  <c r="Y42" i="1"/>
  <c r="Y41" i="1"/>
  <c r="Y24" i="1"/>
  <c r="Z41" i="1"/>
  <c r="Z39" i="1"/>
  <c r="Y39" i="1"/>
  <c r="Z24" i="1" l="1"/>
  <c r="C42" i="5"/>
  <c r="C34" i="5"/>
  <c r="C26" i="5"/>
  <c r="C18" i="5"/>
  <c r="C10" i="5"/>
  <c r="Z45" i="1" l="1"/>
  <c r="Y45" i="1"/>
  <c r="Z61" i="1" l="1"/>
  <c r="Y61" i="1"/>
  <c r="Z12" i="1"/>
  <c r="Y12" i="1"/>
  <c r="Z6" i="1"/>
  <c r="Y6" i="1"/>
  <c r="C127" i="3"/>
  <c r="B127" i="3"/>
  <c r="H14" i="3"/>
  <c r="H18" i="3" s="1"/>
  <c r="Z65" i="1"/>
  <c r="Y65" i="1"/>
  <c r="Z16" i="1"/>
  <c r="Y16" i="1"/>
  <c r="C45" i="2" l="1"/>
  <c r="C54" i="2"/>
  <c r="E45" i="2"/>
  <c r="E53" i="2"/>
  <c r="B63" i="2"/>
  <c r="Z59" i="1"/>
  <c r="Y59" i="1"/>
  <c r="Z53" i="1"/>
  <c r="Y53" i="1"/>
  <c r="Z38" i="1"/>
  <c r="Y38" i="1"/>
  <c r="Z23" i="1"/>
  <c r="Y23" i="1"/>
  <c r="G14" i="2"/>
  <c r="B26" i="2"/>
  <c r="B24" i="2"/>
  <c r="B27" i="2"/>
  <c r="Y64" i="1"/>
  <c r="Z64" i="1"/>
  <c r="Z19" i="1"/>
  <c r="Y19" i="1"/>
  <c r="Z51" i="1"/>
  <c r="Y51" i="1"/>
  <c r="Z11" i="1"/>
  <c r="Z47" i="1"/>
  <c r="Z49" i="1"/>
  <c r="Z30" i="1"/>
  <c r="Z56" i="1"/>
  <c r="Z52" i="1"/>
  <c r="Z63" i="1"/>
  <c r="Z7" i="1"/>
  <c r="Z34" i="1"/>
  <c r="Z54" i="1"/>
  <c r="Z21" i="1"/>
  <c r="Z14" i="1"/>
  <c r="Z26" i="1"/>
  <c r="Z35" i="1"/>
  <c r="Z46" i="1"/>
  <c r="Z32" i="1"/>
  <c r="Z40" i="1"/>
  <c r="Z8" i="1"/>
  <c r="Z18" i="1"/>
  <c r="Z28" i="1"/>
  <c r="Z5" i="1"/>
  <c r="Z4" i="1"/>
  <c r="Z31" i="1"/>
  <c r="Z25" i="1"/>
  <c r="Z36" i="1"/>
  <c r="Z48" i="1"/>
  <c r="Z37" i="1"/>
  <c r="Z57" i="1"/>
  <c r="Z33" i="1"/>
  <c r="Z10" i="1"/>
  <c r="Z60" i="1"/>
  <c r="Z9" i="1"/>
  <c r="Z22" i="1"/>
  <c r="Z15" i="1"/>
  <c r="Z17" i="1"/>
  <c r="Z58" i="1"/>
  <c r="Z27" i="1"/>
  <c r="Z13" i="1"/>
  <c r="Z20" i="1"/>
  <c r="Z29" i="1"/>
  <c r="Z44" i="1"/>
  <c r="Z55" i="1"/>
  <c r="Z62" i="1"/>
  <c r="Y11" i="1"/>
  <c r="Y47" i="1"/>
  <c r="Y49" i="1"/>
  <c r="Y30" i="1"/>
  <c r="Y56" i="1"/>
  <c r="Y52" i="1"/>
  <c r="Y63" i="1"/>
  <c r="Y7" i="1"/>
  <c r="Y31" i="1"/>
  <c r="Y25" i="1"/>
  <c r="Y36" i="1"/>
  <c r="Y48" i="1"/>
  <c r="Y37" i="1"/>
  <c r="Y57" i="1"/>
  <c r="Y33" i="1"/>
  <c r="Y10" i="1"/>
  <c r="Y60" i="1"/>
  <c r="Y9" i="1"/>
  <c r="Y22" i="1"/>
  <c r="Y15" i="1"/>
  <c r="Y17" i="1"/>
  <c r="Y58" i="1"/>
  <c r="Y27" i="1"/>
  <c r="Y13" i="1"/>
  <c r="Y20" i="1"/>
  <c r="Y29" i="1"/>
  <c r="Y44" i="1"/>
  <c r="Y55" i="1"/>
  <c r="Y62" i="1"/>
  <c r="Y34" i="1"/>
  <c r="Y54" i="1"/>
  <c r="Y21" i="1"/>
  <c r="Y14" i="1"/>
  <c r="Y26" i="1"/>
  <c r="Y35" i="1"/>
  <c r="Y46" i="1"/>
  <c r="Y32" i="1"/>
  <c r="Y40" i="1"/>
  <c r="Y8" i="1"/>
  <c r="Y18" i="1"/>
  <c r="Y28" i="1"/>
  <c r="Y5" i="1"/>
  <c r="Y4" i="1"/>
  <c r="Z50" i="1"/>
  <c r="Y50" i="1"/>
  <c r="B33" i="2" l="1"/>
  <c r="Z36" i="8"/>
  <c r="Z36" i="8"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tc={2BE3E98A-81BD-4039-8293-34DAF7EBA643}</author>
    <author>tc={BA9BFC63-2DD8-4242-93B3-9A7261AC94E9}</author>
    <author>tc={2B0816FD-5659-4EEF-A9EB-CCEAA283E00A}</author>
    <author>tc={66762CC8-1752-483F-AA26-C3857FB123E5}</author>
    <author>tc={4D16705E-B019-4082-991D-FB02A47BD374}</author>
    <author>tc={DEA4A250-4AA9-47EC-B9DB-665F4D79C67A}</author>
    <author>tc={DFE09BF6-4443-47F2-818F-E11DBE647DA5}</author>
    <author>tc={60DA7080-5E50-4561-82E6-AD7178D9C213}</author>
    <author>tc={29104E90-55D0-4B50-B47C-17E128EBF026}</author>
    <author>tc={D2A1152D-C2BC-422E-8951-16D99C3ECBFD}</author>
    <author>tc={51159014-F59E-4376-84ED-BE6DB548FFDD}</author>
    <author>tc={E579D0FC-1DFF-44BB-810E-8A87C7AF9873}</author>
    <author>tc={8F198AF3-5D5F-438E-B447-71F2FDDF035A}</author>
    <author>tc={1435AA34-F155-4EC9-8A43-04B7BC1AE8BE}</author>
    <author>tc={9BBCF968-1FB1-4E3B-B340-6617F5B75E93}</author>
    <author>tc={F875B920-30AE-4957-B30D-11C20CDE92CB}</author>
    <author>tc={2CDD99E8-D215-40BA-94EC-E8E4F0709DD8}</author>
    <author>tc={4E9FA3C9-88DF-4826-AABA-59009B5107C7}</author>
    <author>tc={A356CB79-0426-4789-9183-6B0F7C0C6B2A}</author>
    <author>tc={98EC8E07-E599-4A4E-AE97-D28FE14E6DD8}</author>
    <author>tc={C959FE0A-B71D-4575-8B94-37BA947F27A7}</author>
    <author>tc={14AAB117-03D8-43E8-89D6-5E9AFA7D7BCA}</author>
    <author>tc={AC222EE9-A093-4885-B7B6-063103B770C5}</author>
    <author>tc={746FDD76-5AEC-468B-9EFB-311923C6203D}</author>
    <author>tc={368511D1-B7E4-4172-91A8-6C955B62EE29}</author>
    <author>tc={B2344E11-6C4E-4BCE-9363-0EB651FC9BB9}</author>
    <author>tc={4856B5F0-471B-407F-A2C1-04A787A2F676}</author>
    <author>tc={F63E7CE3-FB72-4D53-9584-FEC27644E18E}</author>
    <author>tc={2550A269-62B1-4EFF-8A74-C01483C655AF}</author>
    <author>tc={3C430D90-F9D5-498B-87DC-A3418504890C}</author>
    <author>tc={D6E81477-1961-48E6-850A-205D96636432}</author>
    <author>tc={AAD4E3D1-2DCA-4183-BA6E-AFA174F13700}</author>
    <author>tc={CCA40500-0080-4709-9F12-B7C99F382A99}</author>
    <author>tc={DA0E28DA-8EE5-4C52-99A5-2AAB7B8C4F52}</author>
    <author>tc={89469D52-C4CC-43FE-BDD8-EE3A2A843BA8}</author>
    <author>tc={D466E6C2-BFA8-4D8C-8C96-357F4E56DD51}</author>
    <author>tc={D69D743D-5848-4F46-BBAF-75C76951E268}</author>
    <author>tc={CC86BE05-AF61-4F65-A6B9-787B73A6C769}</author>
    <author>tc={5A74CFC2-18F5-4EAF-9C7C-BC215F21FC92}</author>
    <author>tc={C4AF0CC0-0F7C-4510-914B-588BCA595A21}</author>
    <author>tc={25799759-CCAE-FB46-832B-597CD1836386}</author>
    <author>tc={098B97E0-1369-4F3A-ABE0-430EF7E4E2F7}</author>
    <author>tc={AA8BAFE9-F0D7-43DB-BC02-15C3DC21F41D}</author>
    <author>tc={A687FFD2-FE04-4D49-89F0-BCED38DC298D}</author>
    <author>tc={AB735167-9250-4F76-8E78-98A878603384}</author>
    <author>tc={CD493451-551D-4B34-AC3D-CBBD30D2F8FF}</author>
    <author>tc={4916D6AE-5A46-457C-BF2C-4594EBC3DAF1}</author>
    <author>tc={A6DC7150-8858-FA42-B049-A2C561A79D39}</author>
    <author>tc={50058148-2F8B-4EA2-88AD-FE0676195E99}</author>
    <author>tc={CF1EAEB7-C9C8-42AF-90EB-26D4D069CA76}</author>
    <author>tc={4ADD1F86-E20B-4C25-8C26-C400CF38BE52}</author>
    <author>tc={2F33DEC6-5D67-44C2-AAE7-41345ECD2E07}</author>
    <author>tc={E1893146-474A-44DF-918E-95B0983CF6E6}</author>
    <author>tc={1C938378-9C71-4BE3-BD90-AE6394F55E6B}</author>
    <author>tc={14800A39-3F55-8946-AABA-5CB4BA64BCBA}</author>
    <author>tc={793CC39D-2AC6-42DB-B1E5-71B6566F475B}</author>
    <author>tc={F54956F3-DE6E-4E0D-9A38-C942722D47A8}</author>
    <author>tc={5C8E59D7-E6DA-A84B-9A36-CD378AF3821E}</author>
    <author>tc={D079096A-66EC-46E1-81DC-16CEC0DB8013}</author>
    <author>tc={8FD3981D-26A4-4846-A648-AF7E0A6D51C0}</author>
    <author>tc={99718E69-5C79-4932-A962-786E0DEFCEAC}</author>
    <author>tc={69910728-9F07-441E-8D80-C75D99D304C7}</author>
    <author>tc={4F5F5D30-A750-48A6-B0D6-985A0DF744F4}</author>
    <author>tc={6E689F7F-4201-43D6-8EDF-AD8077DE7AE9}</author>
    <author>tc={76F2EF88-E07A-48A9-A145-58E44083C471}</author>
    <author>tc={AB56D62D-0CAC-42E1-B90C-09BA2E430E1A}</author>
    <author>tc={EE119A7B-E786-4375-B1FD-7915F0AD8932}</author>
    <author>tc={053108B4-60F3-4C55-918D-C74E541C89BA}</author>
    <author>tc={1DC6706D-3E43-46F3-ACB9-C86E07F218ED}</author>
    <author>tc={A0CE7DDA-7CEB-486C-BE19-23B3AAE12DFF}</author>
    <author>tc={4B974C2B-5659-42B5-9D9B-4E8A7C0A50A7}</author>
    <author>tc={DBFB3CAC-C95B-F04D-9B7E-C76123D19B33}</author>
    <author>tc={850F84EC-C9A3-44CB-8FA8-3F9533930143}</author>
    <author>tc={1232557D-8E7D-D74D-BA68-AFA9E979C42A}</author>
    <author>tc={A4EF8AA0-FFC5-456F-BD9A-43212A210536}</author>
    <author>tc={13F61F35-DB8D-4001-912E-6193FEFFBC7B}</author>
    <author>tc={65B709BD-8C8F-4331-9816-7DD351F0CBE9}</author>
    <author>tc={66D06AA8-8112-40D5-96A4-F4DD94A93B41}</author>
    <author>tc={AA7F812F-3806-4391-A44B-DB7E0CAE5305}</author>
    <author>tc={947813D3-0598-4FAD-8D91-EF9276519B16}</author>
    <author>tc={2E7F8C92-9AA6-4C69-90ED-B4755C50D6D8}</author>
    <author>tc={38086A43-C82A-432E-8292-4A286885F4DB}</author>
    <author>tc={72D34D82-6BB3-43BC-BBBE-7B0158AC78D1}</author>
    <author>tc={6883FE37-2C33-481C-AEB6-E973F4213530}</author>
    <author>tc={40F05817-B9C0-4C54-9767-80C1CE3DFFA5}</author>
    <author>tc={10AE0B31-8178-493F-B731-5E0998271DA7}</author>
    <author>tc={1D1CF588-214D-499E-8B0C-B98252B0F248}</author>
    <author>tc={70CC1BB2-7C81-4461-B047-0111E24F58CE}</author>
    <author>tc={5698C05E-556C-4EE6-A1AF-4154B3C79355}</author>
    <author>tc={F1C81672-DC7B-4A4E-8DD4-D047EEC21A92}</author>
    <author>tc={EF0D974F-15B8-44F0-AF0A-5067849BA43A}</author>
    <author>tc={9C7A2654-38D7-4097-BBC9-EBC0116A6C13}</author>
    <author>tc={1053F91A-3BB6-495D-B802-82C43367A5AD}</author>
    <author>tc={EBB2B3B7-C1E2-4760-AB05-762B83CF42E3}</author>
    <author>tc={FBF281EC-8C1E-43EB-B3D3-B33AB8A6C75B}</author>
    <author>tc={6F6C0FB7-68A3-4265-B614-EB47BC1793B7}</author>
    <author>tc={EBD83576-5B3C-487A-BE07-C0722F53FDBC}</author>
    <author>tc={48665182-528C-4FA3-B4DE-BC9B3DB0B2C9}</author>
    <author>tc={A716F9E2-48E4-4BF9-A63B-26D2E0824B7C}</author>
    <author>tc={57059777-D421-4752-A5B2-74ED93F1349C}</author>
    <author>tc={49271D72-7E6E-4AE0-A7BD-433023320796}</author>
    <author>tc={65DADC0C-E558-4089-BBC5-EE023C8BF6B6}</author>
    <author>tc={AD9F0973-AA26-4A76-8C42-BBD1A3CBC602}</author>
    <author>tc={57AF5AF6-0BB7-454D-A303-978FDC0ADFDD}</author>
    <author>tc={535AEC20-7512-4507-8DA3-50B2F01840C8}</author>
    <author>tc={6A10A56D-C7A8-4358-B09F-1F345A1DAB4C}</author>
    <author>tc={86147473-8865-4ED7-8774-8F0664B102B5}</author>
    <author>tc={C17F12D3-8571-4ADA-9353-217AE1B64804}</author>
    <author>tc={9B01DFEB-AE60-4767-AFC8-DE1355E0858D}</author>
    <author>tc={52F8BF5B-3966-471A-8367-6054CBA4EC58}</author>
    <author>tc={14DC748B-3CAE-4ED3-A485-8F99F9F021E4}</author>
    <author>tc={02B4D4A1-D4C0-493E-9B6A-98D727E08DC9}</author>
    <author>tc={08C27117-360D-45D0-9B09-9D55DDBE6FD6}</author>
    <author>tc={1D1D96CE-901D-4669-BF57-CCC588E94B71}</author>
    <author>tc={E3103197-4951-4C59-B700-C8A46140AA99}</author>
    <author>tc={7A60864B-DAB5-410C-A994-48B9B9448958}</author>
    <author>tc={5E157319-AFE1-45AC-AE79-38E74E53F4CC}</author>
    <author>tc={C333578D-5A3F-D34B-A1B8-16053D29044A}</author>
    <author>tc={AA0B6EC0-2FE5-42D5-866B-600878D1DD6A}</author>
    <author>tc={7B0294D1-A0DF-4C71-99F0-4FA70E06595F}</author>
    <author>tc={C98BB281-8F65-47F3-A357-3979902949F2}</author>
    <author>tc={B837646E-1B0A-4435-A66E-D3DB5C1F0DF8}</author>
    <author>tc={9570782F-AE23-40D4-8944-8A630F724AD9}</author>
    <author>tc={B9126225-61A6-A94C-AB9B-B4E5887F9ED8}</author>
    <author>tc={E35D090E-DD3E-4B1F-836D-293E80B4826F}</author>
    <author>tc={E2917CAE-626A-4489-A45B-56848905F5C6}</author>
    <author>tc={2F449265-6FAF-5C48-BDF9-D5C1208095D5}</author>
    <author>tc={ABB13DB3-35D8-CC41-8B5C-C46904AE2708}</author>
    <author>tc={ACF3DE1E-E9A5-4655-8AA1-943C708F4708}</author>
    <author>tc={8BC28577-F33A-46C6-846A-E0FBBB4A6CB1}</author>
    <author>tc={495C3FC8-9692-4C0E-9D9C-44B9C80976B2}</author>
    <author>tc={AF1A0914-0F0E-49A3-9002-AB50BBFF1A81}</author>
    <author>tc={065E2FB6-EB88-49F7-98D9-512D07B52AEF}</author>
    <author>tc={A47BC410-47A1-4FE2-8418-8ACCD6D13725}</author>
    <author>tc={01A45C7D-D492-4042-A8E7-007034D02B9A}</author>
    <author>tc={4BC9F286-CFC5-450A-9CD2-B9E240FC730B}</author>
    <author>tc={86FC68DC-7BA4-42B3-A973-39574F33F085}</author>
    <author>tc={DEB8DE29-6351-4A78-AA1E-DB5D7981281F}</author>
    <author>tc={A51E004E-E918-4D91-ACE5-B72AA6758542}</author>
    <author>tc={55981B40-A845-44DE-A9D8-9A973297626C}</author>
    <author>tc={6D5CAB46-75A1-48E5-B022-C9F69EC44197}</author>
    <author>tc={BCD9EEF6-A1A7-4E8F-B70B-A33476F9C061}</author>
    <author>tc={2CEDE736-CEAA-49BB-9591-A274169E06EC}</author>
    <author>tc={747069F3-5639-4EF5-9CFA-88009D0F4644}</author>
    <author>tc={EC1A0876-B9C0-48E6-B18C-F8DA6B8AFBD8}</author>
    <author>tc={B53AD05C-B206-47C8-9ABE-D9BCFA1DA3AC}</author>
    <author>tc={9DD2898D-9E67-4514-942A-BD0275103A4D}</author>
    <author>tc={4FD1F520-24E0-40D6-8EC9-B67D5E461718}</author>
    <author>tc={81B272D2-D377-4341-B010-1A91900E1C51}</author>
    <author>tc={C022335A-A2A5-4FBB-AFDA-9B8911E91BC0}</author>
    <author>tc={61E71C22-7D3C-4A24-800C-6B67D2F8803E}</author>
    <author>tc={C5789B37-6A91-400F-9250-229E5F5AEA15}</author>
    <author>tc={D4A407AF-75A4-449D-9AB8-1483052A0829}</author>
    <author>tc={637C2D87-666C-4C36-B040-A43FE0AC7147}</author>
    <author>tc={1380E8C5-2C4D-4CF9-938E-CDC12B57C48F}</author>
    <author>tc={8C89799F-DE01-4400-B58E-724D5AE53E35}</author>
    <author>tc={D7B6569C-23E3-47F4-B68A-D28F6452E932}</author>
    <author>tc={DFDF1346-E185-4EF8-ABF9-A3A7240CAD04}</author>
    <author>tc={57546E69-D8F9-A64A-B373-03D8FB12A5C5}</author>
    <author>tc={B353E7F6-527B-4A19-91A1-6C370555414A}</author>
    <author>tc={8D3B7C82-47A5-48AD-8AAB-7CDCFC75B346}</author>
    <author>tc={1DAE808E-2EEA-4D31-9DB0-B89BE758EDBE}</author>
    <author>tc={B12FD731-7C08-43FA-A1BC-29ABDB16F1A0}</author>
    <author>tc={9EE2922E-5477-6549-AA2B-14E207D78D76}</author>
    <author>tc={6FFB4151-7532-4D5A-84D3-1D17D15187D3}</author>
    <author>tc={0F213289-4ABF-45ED-9F09-B2CC5BD7B3EF}</author>
    <author>tc={B966E1EB-D673-49A1-87E7-CBE358BEC3F8}</author>
    <author>tc={1E8861D1-5230-43D3-AA4D-95D27E610D4E}</author>
    <author>tc={34424305-91DB-43B8-A422-E95BE8F83778}</author>
    <author>tc={5461588E-A70E-4127-83B8-71A7E5FC912B}</author>
    <author>tc={991CA6DF-F4DE-4380-91C5-8B4BADCFD6AC}</author>
    <author>tc={B35FF8AA-4DAA-4B5D-A4C5-C8A55BFF2B3E}</author>
    <author>tc={3E769B15-6AB3-492D-9104-BCB8D8344B7F}</author>
    <author>tc={C20C34DA-8205-4481-AF8A-0B231667A008}</author>
    <author>tc={1617ED75-E0BC-F54B-A67A-B746382F4679}</author>
    <author>tc={8EAA2DFC-FF15-41CF-9699-4054277D01D8}</author>
    <author>tc={1DB9AACD-17F7-4EE9-8741-594E41E00C2C}</author>
    <author>tc={68E005E2-9CD4-6343-8812-5C7862F80375}</author>
    <author>tc={FF79747E-AFAB-4F61-8160-7447CCEDC6F2}</author>
    <author>tc={268F4344-46AA-4BF3-92F1-708360C6C6F6}</author>
    <author>tc={4C78F72E-EA04-41D4-A89A-36315F7332A3}</author>
    <author>tc={C5963E44-767A-4278-9833-B361643F0CAD}</author>
    <author>tc={0BEFF96D-980A-4E90-8527-40533E1ACEED}</author>
    <author>tc={3991066C-E009-407F-ADF6-2C4BE560A857}</author>
    <author>tc={10D7DB55-9E55-4EF5-ACB1-F9109F003FE2}</author>
    <author>tc={6C85ACB8-3D34-C64E-A8D7-42724E5C8D94}</author>
    <author>tc={CEBC94D4-CF78-43FF-AFBF-EC9A323E1C15}</author>
    <author>tc={EA90E4F1-A38D-1E45-8766-00247398A46D}</author>
    <author>tc={89267CFC-70E4-4983-BF09-17631E609F75}</author>
    <author>tc={3D36BA42-61AC-0947-B2AF-7E49929934F6}</author>
    <author>tc={A1AABCD0-3F53-4EF7-B917-14597E2A4B41}</author>
    <author>tc={888443E9-1712-49D9-A8A5-0C9ABDDFBADE}</author>
    <author>tc={FB49D741-354C-4300-AA14-8AFDB7CFBBC6}</author>
    <author>tc={91292A74-A292-4ACF-BA78-4D3ECC6D2437}</author>
    <author>tc={5A8FE2D4-CE01-4C28-AB60-E8A3F56C0C68}</author>
    <author>tc={99C36799-D063-4E16-BBCE-E548DD09A3E4}</author>
    <author>tc={F5F9F9C9-6689-4F55-9C58-562392484A70}</author>
    <author>tc={3D7ADC5E-36E0-4A43-971B-DE77D7789D61}</author>
    <author>tc={D18D078F-1847-4B90-828E-71D7DACFB68B}</author>
    <author>tc={5BBC815C-D64B-4CFF-AB4E-1CC70FA1232F}</author>
    <author>tc={14EABB0F-55D5-4A14-9104-99B811879FA4}</author>
    <author>tc={FFA71325-923C-42F1-82C8-FE837B9CB3A4}</author>
    <author>tc={EDB18D9A-0016-46A1-951F-65BBB0414F4A}</author>
    <author>tc={CE1FAE67-745B-435B-A829-FEADC146A847}</author>
    <author>tc={59B4A158-93B4-475E-83D4-996DE8903552}</author>
    <author>tc={8C36EDFC-48B0-43BE-A973-733BE8DA12A1}</author>
    <author>tc={57449E95-9216-4CDD-9B2A-02867D5BBFC2}</author>
    <author>tc={2B328E13-0461-4B79-B070-711BB9CC4120}</author>
    <author>tc={BD96B1C3-B51B-4024-A126-E64EE57D159D}</author>
    <author>tc={3C3F096D-A17C-47B3-854A-CEBC1F935E18}</author>
    <author>tc={2A83CF70-9732-6946-A64C-EB581BB5FC61}</author>
    <author>tc={00678478-8278-544D-866A-D1932E02F341}</author>
    <author>tc={AAE8FA18-D2E6-404A-972E-E1F98EB0512E}</author>
    <author>tc={1FB7D418-0175-6E48-908D-5684C7198E6C}</author>
    <author>tc={EE86C66A-5269-FF4F-8F3E-D6DBF8420E4A}</author>
    <author>tc={606E2DE9-F287-D046-AB8B-62F873EEFF08}</author>
    <author>tc={0C136A48-D75A-5249-A781-17534E7F8AE0}</author>
    <author>tc={020F9628-BD45-D748-843C-5C5D588CF775}</author>
    <author>tc={70E145CC-C90A-3746-BDA1-B4706E1F9603}</author>
    <author>tc={CF2B48FB-CEBA-4E43-9C7B-E1AEF4B23DE3}</author>
    <author>tc={CBF919FB-7A70-4C45-89F6-D52F13EE6AA4}</author>
    <author>tc={CBFF0142-8B90-0F4F-B6B7-1CC86D05D5B7}</author>
    <author>tc={C976E557-8267-F943-9AEE-D6A578CA044C}</author>
    <author>tc={DBFBA734-46D3-473E-AA9B-148F60ADF471}</author>
    <author>tc={849B0F61-19E6-4515-9814-FC4D75C1BA2A}</author>
    <author>tc={2439E706-5ABE-4973-B0CA-6D3E99EB8027}</author>
    <author>tc={C9CDC76C-B751-4202-A8E2-F719E76FBDFC}</author>
    <author>tc={FADBEE36-EA76-46CC-B90E-B427F3DE36A4}</author>
    <author>tc={5787B030-84ED-4373-B702-1355917CB5EE}</author>
    <author>tc={E3C80E30-D600-4CF9-819A-9B865CF059EF}</author>
    <author>tc={F97E9ADC-45E8-45AD-9016-86EB431FD48B}</author>
    <author>tc={DCA8DDAB-6C53-4228-9D0C-5725627A41F8}</author>
    <author>tc={C9EB6DCF-BB17-4242-B75B-486640B5DA43}</author>
    <author>tc={2B5D43F9-218F-47D9-AD68-FF69B14F3132}</author>
    <author>tc={D046A50E-E727-4D0B-BA13-326A2CFC30EF}</author>
    <author>tc={1804F767-E8F0-438B-AEAA-08FA417D868D}</author>
    <author>tc={B85CA320-D4CD-4EF0-AB8D-421C1EED7A0A}</author>
    <author>tc={17522A68-4576-45F0-8C4D-EF3D38814B4C}</author>
    <author>tc={E907E471-409C-4DF7-9EDA-17B0236FD534}</author>
    <author>tc={A40F9EC3-F115-4147-9FAC-16F10BDC3F44}</author>
    <author>tc={59C3CAB9-9FE2-47AD-A604-109D61346B81}</author>
    <author>tc={23B8ECFC-FE28-4187-BDB0-7C9F0004E1E7}</author>
    <author>tc={A11A9C72-B052-471E-9A0E-1FB2CB1E9232}</author>
    <author>tc={00868B7B-2EB2-409E-B893-B0B3FF74546C}</author>
    <author>tc={5460CDDA-C6AA-4CCD-9E0F-3C7C78896C55}</author>
    <author>tc={B11A6306-A146-4262-807B-FC71295C6A43}</author>
    <author>tc={A2D02214-4296-4003-9BAC-DB2CBC45921A}</author>
    <author>tc={51DC385F-2289-47FA-A608-BB058A442867}</author>
    <author>tc={BDA966AF-9847-44B5-9D1B-8310A077CB6A}</author>
    <author>tc={28839472-65F0-424D-8F86-6DE5DB2C5BBE}</author>
    <author>tc={66C63F27-A874-49A2-B933-88E9B9BC5A35}</author>
    <author>tc={D4F89F1C-8C9E-4A00-85BD-EC0780BD0640}</author>
    <author>tc={D7C7051C-675B-4C9F-8BA6-662F8FCE109D}</author>
    <author>tc={D2D1864C-9F34-403B-857D-2D37AF45D81E}</author>
    <author>tc={04AA3B14-B6A1-4FCF-8461-A59EAFD1B26B}</author>
    <author>tc={3DAA7710-F7A7-4DCC-AAD9-B2C1F34DBA69}</author>
    <author>tc={3F9A7D8A-A29B-485F-8C1E-BE068E5B80DB}</author>
    <author>tc={9783E2A9-6EA4-41AE-B289-40ED5B4C75FC}</author>
    <author>tc={9C00AFEF-202A-491C-B9D0-74B309D4D142}</author>
    <author>tc={67997359-9D2B-4079-BFFE-41170335BC2D}</author>
    <author>tc={87EA88F2-66F8-4591-B5CA-2DFC75C565B5}</author>
    <author>tc={78B954A8-1876-4158-8FCE-3C9070235F94}</author>
    <author>tc={333E5B82-93AD-4A3F-8267-23A68DB76CDF}</author>
    <author>tc={5DCE3AF8-C28D-478E-8E88-F38E53DF02C1}</author>
    <author>tc={52958055-44CC-4B9F-B11C-33B5D6F56704}</author>
    <author>tc={C41C19C8-848F-4604-9234-2C35EC05F308}</author>
    <author>tc={6463AFE4-D3F6-448B-B9E0-DD00A20C3D8D}</author>
    <author>tc={85544D27-7E17-46E7-AEED-513DF4F440FD}</author>
    <author>tc={F828B4FE-F82C-4A35-986F-66E4E814BBA8}</author>
    <author>tc={D7D75272-FDD3-4F87-AB37-657FB410CC44}</author>
    <author>tc={30978947-ADC7-4EED-B88E-736825376F3B}</author>
    <author>tc={7B70F2C3-2D76-48FB-9746-CA8A34BFFE7C}</author>
    <author>tc={AE43D456-0641-3344-80D5-1FD132C8123D}</author>
    <author>tc={5DD4774C-8CE4-41B8-9939-4A21410267A9}</author>
    <author>tc={2707F6A4-4BB3-4455-A3F6-0D632281D329}</author>
    <author>tc={25DF6D5B-2F3B-44A6-8ED6-49999F962BA5}</author>
    <author>tc={6D46C362-C0F2-4A99-83B3-0A6115BC8D57}</author>
    <author>tc={8FFACFCF-EA73-4B4D-8650-5008FAB30769}</author>
    <author>tc={DF1B8BF6-74C5-4533-A645-0BD353FB6DE1}</author>
    <author>tc={53705A27-8F07-4D57-AD4C-D133752757F9}</author>
    <author>tc={CE40B17F-1FE6-4295-B42C-5A08C175109F}</author>
    <author>tc={D6C2B0E7-612A-4665-BDF4-6614E8A8F678}</author>
    <author>tc={D0F1FF71-A571-4442-BDFA-96DAFF19E4E6}</author>
    <author>tc={52C54955-AB30-45F7-823B-FDF39A10BC69}</author>
    <author>tc={D6D320CB-8DCB-41B1-81E4-68C52C906E70}</author>
    <author>tc={A5F939EA-0B9B-43EC-A68A-E6E8D6D3B3D3}</author>
    <author>tc={6EF7AD6A-EF27-40B5-AA20-EB176AA51D52}</author>
    <author>tc={A1164E58-0A88-4575-9840-8B0ED6839062}</author>
    <author>tc={D61693AE-9181-4EA3-A2CF-E5B4C99234F6}</author>
    <author>tc={DC271A94-FA84-4FF9-A664-B65B822EF02C}</author>
    <author>tc={3FBF99A5-B003-4727-9A2B-FB69A5D16178}</author>
    <author>tc={477BAD90-A8FC-4589-8B2C-6BAF80551FE3}</author>
    <author>tc={537C4861-F388-D844-B0B2-A0957136B6B4}</author>
    <author>tc={1DD57BBD-7812-4D24-9797-A316D20C8056}</author>
    <author>tc={E18FD22A-B71B-4005-B270-CABDA89C2B4B}</author>
    <author>tc={A284F686-4797-46D9-B7A2-633D5ED0BA68}</author>
    <author>tc={0FB016B2-70EF-4AC9-B6F5-39436C558722}</author>
    <author>tc={A4B02838-DA17-4603-9A63-1C40A815019E}</author>
    <author>tc={45410A84-CF95-4179-A59B-B50C5B181A51}</author>
    <author>tc={E5A9EC50-F2E6-4FA1-B8DA-C0190E9E98D5}</author>
    <author>tc={B66F36EC-FF46-46FC-A717-E2B57C9F748A}</author>
    <author>tc={99566B31-7377-4C4F-9119-154A0911EFE8}</author>
    <author>tc={0BA38CDC-33D4-46EB-83BB-A7F44A146211}</author>
    <author>tc={13AC26A9-D275-4D76-ACBC-AF3FA40E58F1}</author>
    <author>tc={2D0A1D6F-C236-5C4D-A37C-15A33F1F07AA}</author>
    <author>tc={4075EE02-54EC-FD4C-B355-3F041314FB32}</author>
    <author>tc={A14D6455-200F-5B44-B3FF-BCDB4D544D91}</author>
    <author>tc={CB1715C4-1C70-5242-AF60-446915BA4F7F}</author>
    <author>tc={55E6C1AB-E90B-456C-ABFB-7F086CA01672}</author>
    <author>tc={A78C7566-0BA0-4304-A7CC-D304024C3A62}</author>
    <author>tc={DE4C7ED6-FFCC-4AFD-9C16-831DB45DD1C4}</author>
    <author>tc={A8F09473-A53B-4D77-9026-CB85B6744F44}</author>
    <author>tc={F6E74D8A-0C76-4314-8411-CF2E4CF64793}</author>
    <author>tc={59A2B866-203E-4FDC-AF8D-E67AA9DE05E2}</author>
    <author>tc={9391B878-246F-4667-9FAB-AC671D5D8284}</author>
    <author>tc={289FFCF2-5584-4929-AD1C-5BAF9F85DB44}</author>
    <author>tc={A67E9E59-A71B-4222-95EC-CDAB48E928D1}</author>
    <author>tc={E83A95F6-ECBE-44C4-AC77-88A5184B23E4}</author>
    <author>tc={FF649E9B-26F4-4EAE-BF07-B25F41F743A4}</author>
    <author>tc={C46EC09A-489E-44E0-BDE3-2E6353E87420}</author>
    <author>tc={8A2AC439-D646-4BC8-9E2F-1A178468345E}</author>
    <author>tc={85E259FE-3B35-410A-9950-C452CE67C1CD}</author>
    <author>tc={90429723-B4F9-45D1-AD08-2E59C9C0F2B9}</author>
    <author>tc={B516CAD3-56D9-4CEF-B2D3-9E11E61C4BD3}</author>
    <author>tc={E433006D-BDF8-41ED-AFAE-0FC96A64591B}</author>
    <author>tc={F5670B58-D889-4257-BDDE-2C314A08949F}</author>
    <author>tc={EF16CA8D-E6C1-4417-B28D-8284BB95A90B}</author>
    <author>tc={CACDDA1F-DC53-4D48-BB3C-5F649FC17E68}</author>
    <author>tc={5A9A7348-E60B-8840-A3B4-DF0BE19AEC2C}</author>
    <author>tc={6FCB586C-6EA6-42AA-B390-D08D957935DB}</author>
    <author>tc={D64A47BF-ABE2-5B4E-9FE0-1407ACFD14D3}</author>
    <author>tc={DC090D89-C032-1E43-B8FA-4483709CF972}</author>
    <author>tc={C0835AFC-D3DE-491E-87BC-98468089AC0B}</author>
    <author>tc={47F57F69-D5DB-4354-AC37-CF33A3764D3D}</author>
    <author>tc={A5286BAE-146B-436B-94DF-F2CA476C2098}</author>
    <author>tc={3B7F2AAD-7E8C-4DDD-965D-8D3D51B56FCA}</author>
    <author>tc={E9336AD4-E0CE-440A-B8F0-FF5295B06EB1}</author>
    <author>tc={C247F274-2AE3-4EE5-A1E2-AC90E4C4CBD8}</author>
    <author>tc={3EEFCBC9-BF3F-4E70-9372-9E622004576F}</author>
    <author>tc={9A1A026D-790D-4FE3-8859-91B1110C4635}</author>
    <author>tc={269CF998-5AC6-41A5-9BA3-38DF1AE26D70}</author>
    <author>tc={13DC1CC8-64E6-44F8-8238-B68E1832C0F1}</author>
    <author>tc={56C19F17-A9E2-4F89-A266-86314C3430E8}</author>
    <author>tc={1C52E949-B69C-4646-AA9D-5FCE34B0B45F}</author>
    <author>tc={B7284E4D-4BFB-41CB-93B3-6E71427B9045}</author>
    <author>tc={E5B79663-4AB6-4346-A841-BE0608E736DD}</author>
    <author>tc={AFA4E3D2-D8DF-4329-BC44-279CF5CB4975}</author>
    <author>tc={AE8D9ABC-A387-4449-BEE1-1C716A3E2B5F}</author>
    <author>tc={8570C67D-CE46-416B-B184-2DE23952B195}</author>
    <author>tc={2DB4CB40-273D-4EEB-A45D-A6637BB908CD}</author>
    <author>tc={63092EBD-C28A-4BDB-BCE0-36201E55B807}</author>
    <author>tc={AAEC8066-8250-4621-A607-3FC442458FEE}</author>
    <author>tc={CA864075-95FE-4520-AEE5-D1AFE83A34E7}</author>
    <author>tc={8D42E8C9-71AD-4220-B39F-ECB129F5C4BA}</author>
    <author>tc={70453C13-9002-421C-8B58-207352C32485}</author>
    <author>tc={8921B03A-DB03-42FC-BE78-850AFD3477F2}</author>
    <author>tc={E7D8B372-E4E3-4278-8130-424D4B3F3E11}</author>
    <author>tc={BBEC60A6-10F1-4BE3-A029-D2407C14E50A}</author>
    <author>tc={17DB24F1-8267-4A3E-8084-347FB9F7112B}</author>
    <author>tc={C14CCE6A-CBB4-4864-AA6B-AAAA7175D546}</author>
    <author>tc={C6132ADA-074D-4FC5-90CA-82E11117CBAF}</author>
    <author>tc={FDE50E6D-FB8E-4555-A695-B3224358B6D6}</author>
    <author>tc={4D19D44B-94CC-4C7B-9883-F118F795DEEB}</author>
    <author>tc={84EDC1D3-3918-8043-8D15-9A88BE48A2EA}</author>
    <author>tc={A52A11BD-F059-4800-89B9-74568D2ED037}</author>
    <author>tc={B54238BC-71D7-4D9D-8240-7647C9833F65}</author>
    <author>tc={6628DB07-7DAE-4D3A-9AD8-8FF736A13782}</author>
    <author>tc={2DC31213-FC12-402B-8183-88412B7AE90E}</author>
    <author>tc={C609202D-F14F-42F6-9297-4CC5F61DC630}</author>
    <author>tc={1E1D50AB-2203-4E0D-9DDB-5625AD1357CC}</author>
    <author>tc={57444C49-8833-487A-801A-D11D66628934}</author>
    <author>tc={4FAA09B2-D55A-4F52-9610-1DAA29806A51}</author>
    <author>tc={97DD87FB-E425-4850-8AF2-21FAFFB87304}</author>
    <author>tc={23B53D05-7507-42EE-ACF1-BCA62BD38A40}</author>
    <author>tc={A9A6AC01-3417-473E-AFFB-5141D79B2843}</author>
    <author>tc={D7ED290B-18B5-4379-9895-A3047EE3E7EF}</author>
    <author>tc={91F52F80-D13F-4D13-9DA9-BAB2DA7A3A4D}</author>
    <author>tc={047E88D0-A09F-4613-A30E-110B93C571A8}</author>
    <author>tc={992A241C-9545-4B93-9826-CF08148720EE}</author>
    <author>tc={FDF7FB91-6190-4435-874F-C37CC72A3DE4}</author>
    <author>tc={3BDD9C60-5B66-4063-AAB2-4AEA0312BF22}</author>
    <author>tc={1A1F67E3-4509-4AD0-83AD-D86FA3A71E44}</author>
    <author>tc={C9D99D14-48D0-455C-9BBB-F6197666C398}</author>
    <author>tc={D9E7EA88-6125-E44C-B5C2-C434FBBFD9F2}</author>
    <author>tc={0D25DAFF-4C72-E04C-BA01-7980EDF16B3D}</author>
    <author>tc={EF9D8AF2-8EBB-44F7-9DDF-AC4842C4C688}</author>
    <author>tc={F6F8FEC5-4B90-4EC4-AF8C-43EC34A3C442}</author>
    <author>tc={B237DB77-BBAB-40DD-8B8E-BB85E3542946}</author>
    <author>tc={26AA344C-ADA4-430B-85A8-62676A8D9891}</author>
    <author>tc={1C74263E-58FF-4923-AF05-1279B8930E7C}</author>
    <author>tc={F1FFD468-2334-414A-ABEE-26A7E370651F}</author>
    <author>tc={42EA32A4-CA4A-44B2-9F99-008332F0FDC0}</author>
    <author>tc={CF56CCFB-1D4C-4F52-A0CF-9A43AA5595A3}</author>
    <author>tc={A87CC8ED-A30F-45A3-8DD0-08DBD880FD07}</author>
    <author>tc={6DBCD303-DAD1-4D4B-B058-3AE8DAC19E8E}</author>
    <author>tc={224168B6-03D5-41CD-9073-877C8D84648F}</author>
    <author>tc={AE8D8FA9-57AE-466E-BA61-FF0F4B74C415}</author>
    <author>tc={E04B9F4F-F39D-4421-8FB1-5ABE6E506D39}</author>
    <author>tc={377794BB-C6B9-5F40-A601-D19B9C3D37EA}</author>
    <author>tc={AB7E66AB-BE21-48D3-92D2-FC93A9957B86}</author>
    <author>tc={CA7EA2D0-06FD-2442-AB33-0CEAE3A04F93}</author>
    <author>tc={FF437ABA-EAD0-42BD-915C-34E060C21135}</author>
    <author>tc={A9E031FA-99A4-4767-90B7-3D3B068C603E}</author>
    <author>tc={42D69F27-B6BE-4730-8A59-3AE16F4AC304}</author>
    <author>tc={32A03030-32E9-40F3-8213-5FA5DA236996}</author>
    <author>tc={B55AC942-7F38-4960-A585-34A94100120C}</author>
    <author>tc={F2948645-7070-4924-A5AA-35BE89DBF745}</author>
    <author>tc={7B943927-E38D-4CCE-8A8E-FBB25312CFA6}</author>
    <author>tc={D2EA0590-4EB6-4398-A6CF-79267E2734FC}</author>
    <author>tc={02D70CF8-FC4B-48C0-B6DF-CFB296754BD9}</author>
    <author>tc={DB28027B-F38D-4BED-8013-7E0923AA250B}</author>
    <author>tc={8936B1E0-437D-4ABC-A41D-36FB3E124423}</author>
    <author>tc={46F53A2B-BA89-584A-BC4F-2AD61DB34AC1}</author>
    <author>tc={9E7D6D02-0E37-41C3-8CB9-8D6C326CB3DA}</author>
    <author>tc={63B0F841-BB9E-4AEF-9C35-1670C040ACCF}</author>
    <author>tc={5FA6BD99-06F5-423E-AE1F-5D1626394DC3}</author>
    <author>tc={5CED2C13-41E7-4740-9379-7DEBA88814A7}</author>
    <author>tc={EB6283CF-673C-48F4-8CFC-32796FC17F0C}</author>
    <author>tc={11669B7E-8491-4683-8DB2-F1B16EBADA41}</author>
    <author>tc={46AA735E-CC05-4731-B1E0-C2325DBCC656}</author>
    <author>tc={13362BB1-D580-4F9E-BC60-5561B7611FE1}</author>
    <author>tc={68941E89-457F-4BB3-B061-1FE2A16AF171}</author>
    <author>tc={0E4E9CE8-53EA-4060-8C34-80A3F0C877A6}</author>
    <author>tc={9807348E-E557-4AC7-94B1-ACA0BBF7DD78}</author>
    <author>tc={2F95631E-F828-4FAC-BCED-E44A2CE34FDC}</author>
    <author>tc={DE147560-DA03-E946-99BF-F748C17741A8}</author>
    <author>tc={7245C7A4-672C-4CC0-B818-2E0DA58D78B9}</author>
    <author>tc={68750918-0E32-47E4-ADE7-B0A03273DB12}</author>
    <author>tc={04D91D20-F97A-45F7-9D5C-5154BC493EBA}</author>
    <author>tc={ED8C87F9-9D1C-484C-A143-37F020155B6D}</author>
    <author>tc={DE2F902E-7AAF-4902-96BE-8EDAE43C9134}</author>
    <author>tc={CFDC3255-C312-47DB-924A-014383F666D4}</author>
    <author>tc={251632AA-46ED-463D-9DDF-3637DD7B5331}</author>
    <author>tc={701816C0-B70A-4A8D-9D51-43740C7E4CF0}</author>
    <author>tc={67FDF774-9F2D-43BE-B3B9-AC90380CC234}</author>
    <author>tc={233A199A-3E9B-7A41-9488-D94A27C30F68}</author>
    <author>tc={70957B55-5EF1-4CBC-82C7-F93000DBA7C0}</author>
    <author>tc={01105F19-92DF-4A6D-9BE7-F5BAC49441EC}</author>
    <author>tc={D8862331-86FB-4D5E-84EB-54CFD8E5FE42}</author>
    <author>tc={D164B907-B678-4C0D-BA4B-AA3EBAE6D7B4}</author>
    <author>tc={D775C436-EF81-4B0B-A580-F82F72BAE43B}</author>
    <author>tc={3F359347-346D-49C9-8F28-6BB7542C1DD0}</author>
    <author>tc={3DBE7FC0-CE6E-4311-9628-80A23600423E}</author>
    <author>tc={DB513DD1-F1A9-44D5-BDBC-6D698E04DDF4}</author>
    <author>tc={40E679D7-91B6-470F-9966-95A6AEEB59B1}</author>
    <author>tc={4FC7613C-4DA4-6F4C-9326-1D85F13B8FC8}</author>
    <author>tc={46A47325-DCC1-4C0A-AAF0-47EE36DCFE09}</author>
    <author>tc={57A78BBE-B1C5-418E-8C39-3EDC34A70851}</author>
    <author>tc={38A77CEB-4722-4B5D-90C2-04060759354E}</author>
    <author>tc={321D1882-C4C8-4DAD-942B-11A19C6CDE06}</author>
    <author>tc={8D132142-0BD4-465F-9A06-793AF69DB190}</author>
    <author>tc={FC41F7AD-3A48-45C7-8000-191F035AFBD3}</author>
    <author>tc={58816E53-F9C4-4157-A3CC-1C9D2526C173}</author>
    <author>tc={D2D637AE-CFE3-4650-AC72-6BF65159BCF4}</author>
    <author>tc={A11359E4-491E-422E-B99B-0B317B7C3E9D}</author>
    <author>tc={63EB856D-313E-431C-9E7D-E80DC4920E46}</author>
    <author>tc={036A5C2C-C2AC-425D-869F-A9A8A7F69BAE}</author>
    <author>tc={BB0DF3DA-6EE9-4741-8A7F-0414E83AC9B0}</author>
    <author>tc={F7FA751C-0857-4663-97CF-D93E6FC623DB}</author>
    <author>tc={F88DF14B-4B25-422C-B004-81E4B317A6BF}</author>
    <author>tc={01C457A1-06E3-4A50-B2AB-00CECBAA0126}</author>
    <author>tc={F891873A-E240-4812-B22D-0C2FF98B361E}</author>
    <author>tc={1EC1B77E-DC7F-4877-B7EA-5E4AB18CD595}</author>
    <author>tc={A5E4EF93-E483-4EF3-86B2-EE2AACE59DC4}</author>
    <author>tc={C77C7579-842D-434A-91AF-D874A44B1729}</author>
    <author>tc={06FD0C1C-A499-493D-B192-F8314F829E66}</author>
    <author>tc={F4163209-3311-41B6-8236-A46C4D92E0D2}</author>
    <author>tc={885ED27D-BCB2-4EE9-93B9-C9CBEE00BA0B}</author>
    <author>tc={F880C2B3-A28F-48E6-BDAB-6F70B1DC2E2E}</author>
    <author>tc={2895352E-8F69-4A6B-88E0-D8E031C55FB9}</author>
    <author>tc={8D54F11D-62E5-4BB8-95AF-864AF490DFB3}</author>
    <author>tc={A63A2EBD-E750-425B-B7D8-9B4CBE3FD7E0}</author>
    <author>tc={6E838881-C810-48DC-98A6-DC95ACB81840}</author>
    <author>tc={7495FD38-6CDD-463A-9B1C-4E119C4484A9}</author>
    <author>tc={921E1148-B288-4DF5-B7D6-5481346B4960}</author>
    <author>tc={831FE9DE-BE82-4AD1-94B4-EB926D7953C8}</author>
    <author>tc={DE1C0BE4-9DF0-4195-B6D1-587E4E74B29D}</author>
    <author>tc={032BDCF1-0127-4FE2-BDC3-A8A5CD7E1B95}</author>
    <author>tc={A3F0EA65-2161-4C1C-91B5-02CEB29BE2E2}</author>
    <author>tc={E994B3DB-0A94-4FB1-A92E-33F18E4256BD}</author>
    <author>tc={49509B2E-EDB4-4F43-B414-74A56A3B4355}</author>
    <author>tc={82D6D5C8-5ED3-4C64-994B-FCE3FCB2F705}</author>
    <author>tc={F0CA9E9C-B024-4B2D-9E37-D24C62E7252C}</author>
    <author>tc={0CB7B7FA-9FB3-499A-A4A3-C1C5FDE1ED23}</author>
    <author>tc={8C504FC6-8EA4-43BB-8C37-ACFF5D278A4F}</author>
    <author>tc={26EF6197-5778-4B15-A2C1-1187248C8B91}</author>
    <author>tc={2222D949-A882-40A6-A1CE-2EFD94FF1C58}</author>
    <author>tc={F3D47168-A647-454A-9736-0C8EB2154992}</author>
    <author>tc={FF3B990E-74FE-456C-B4D4-42519DB74C15}</author>
    <author>tc={D86542C4-C72B-4748-82BB-96DA0C42F032}</author>
    <author>tc={718ED8C1-E84B-459B-A926-2923C459FF46}</author>
    <author>tc={E25B3C7A-EBB9-4EA0-81F4-829DCE891FA5}</author>
    <author>tc={6097487E-C3AA-43E2-A423-09C6685843C7}</author>
    <author>tc={8ACA5746-47C5-4160-87B9-F13AA7CE2114}</author>
    <author>tc={7EA81C2A-0D08-48E7-A6C4-C440178B4357}</author>
    <author>tc={8D3BC122-13CD-4804-A842-A62C520A3609}</author>
    <author>tc={78DDE74A-6F08-4AE8-8B4E-DE22841A9285}</author>
    <author>tc={0132687E-0684-41AA-AFBC-DC8895E9CF83}</author>
    <author>tc={A41E7F9A-E949-463D-97D6-1720A8000450}</author>
    <author>tc={FBB9519B-5308-4DA3-9A48-7B6B89E207BD}</author>
    <author>tc={1CA7897B-B82A-43C3-A930-850F77A4A9EA}</author>
    <author>tc={532B42F8-CF1E-4676-98F9-045ED62558DE}</author>
    <author>tc={AC5CC9BD-84F6-41E2-8BB9-8946A31F7E8B}</author>
    <author>tc={661A79E1-7AFB-4DC8-95C0-B9C0FBC0066A}</author>
    <author>tc={65C37A8A-8296-4AF4-BA39-1B0B91AA6511}</author>
    <author>tc={B270E466-FD09-4DF7-821F-A802791C01E0}</author>
    <author>tc={FA4B68B2-6884-49AD-9179-3B21D8F01006}</author>
    <author>tc={9B74A6BA-B2FC-D846-9E50-DAE490679A58}</author>
    <author>tc={F2EC8C9C-DE7B-40F6-9A90-3452E218C1A0}</author>
    <author>tc={1E523D86-D5F3-4837-8873-33C1FFA9B3C2}</author>
    <author>tc={699570D7-3C9F-4297-9AD8-F7674E587379}</author>
    <author>tc={E6911794-2467-4CA2-A061-0C8B491F5601}</author>
    <author>tc={21D8A352-CDC0-4F4D-A691-036751BBC4CF}</author>
    <author>tc={B383A7EB-1815-4265-BF64-537C90F971C3}</author>
    <author>tc={0DB80F92-3B2D-4E1D-8E04-528E207CB617}</author>
    <author>tc={91199450-274F-46A6-BFF1-C434D9FDE949}</author>
    <author>tc={1830516D-39D4-4A20-B8BA-A947B3DC792E}</author>
    <author>tc={0ADABD2D-0DB1-4624-882B-7521AA3B5750}</author>
    <author>tc={67E05526-942C-4065-8DCC-63C3E1A647B6}</author>
    <author>tc={D10401D2-496D-4EE6-ACF7-340C0D385C64}</author>
    <author>tc={4828BCD4-B516-44A2-8F32-CBE1A444CFDF}</author>
    <author>tc={8229931B-FDF2-4465-904D-63C8647BE1CC}</author>
    <author>tc={43546670-9BE2-4F10-B675-E7D76D18EB7E}</author>
    <author>tc={803171D1-7A4E-443A-913C-94BB15F73847}</author>
    <author>tc={C76739AE-F30E-4CB4-A9F9-C3601AA76518}</author>
    <author>tc={4E535EE1-BDE1-40F4-BDDD-203344CDD276}</author>
    <author>tc={457DB81C-104C-4B3C-B328-7CFB22337137}</author>
    <author>tc={B470DAA3-C446-4299-A538-9623F39389F3}</author>
    <author>tc={AFFD195E-3D14-4F7D-9166-D711DA0369B8}</author>
    <author>tc={B671B49E-61E9-4886-8130-35CF9788E144}</author>
    <author>tc={A24F941F-BABB-433C-997E-21C2927DE44A}</author>
    <author>tc={85B53A4B-6D50-4A65-8B81-5663B5ECE3F4}</author>
    <author>tc={EAC09F86-0F55-4957-89FB-C585B3143481}</author>
    <author>tc={EF5CFCE2-CBFC-4B5C-814F-941A5240E06C}</author>
    <author>tc={505AE04D-A8E1-46EE-BBF9-C8E4D952343E}</author>
    <author>tc={23A85CB8-E01F-8B47-BAC6-8A8CF6AB0291}</author>
    <author>tc={4FDD23D3-6A19-744B-A235-D021C369373B}</author>
    <author>tc={2D090C49-4907-804F-B8CE-597E5906E8A8}</author>
    <author>tc={A39ECBF9-E031-B146-BBFB-7149E5730D2A}</author>
    <author>tc={77E2B218-20FB-5A44-8151-5D53C335FABD}</author>
    <author>tc={6C567258-7C56-4E4D-958A-FB7A709621E2}</author>
    <author>tc={1FD15741-90F1-B846-8F11-ADE109A015B9}</author>
    <author>tc={FBFD39D6-3C42-5E41-A4DF-98512548AC01}</author>
    <author>tc={E59259DF-64D6-DD47-B227-D484266B7E7F}</author>
    <author>tc={019A03A5-34D7-1342-AE19-6C036BBA0162}</author>
    <author>tc={FE81E8C9-11D2-AB4A-950A-2A59C0977A7D}</author>
    <author>tc={B2CF077B-694C-4042-B9F9-7A53D91DC75F}</author>
    <author>tc={4B9584E5-B778-D149-9AEC-E134C5DA3A28}</author>
    <author>tc={CC6E60C3-4C2C-974A-8C92-40A65211BA8A}</author>
    <author>tc={96406C7E-1EFD-9A4F-A4EC-A8627FE17582}</author>
    <author>tc={AE4891E4-17C0-2141-B2B0-9CD8360E6726}</author>
    <author>tc={1530CF48-82B6-8543-BBF7-D792CD707BBB}</author>
    <author>tc={2F1BF0E2-B3D7-6B48-BD80-F275509AB951}</author>
    <author>tc={2E5614ED-52B8-444E-8ADD-6576DE1B4AB6}</author>
    <author>tc={AFB4F33A-FD4B-7546-9DC0-18A706E4FF26}</author>
    <author>tc={9358F8A4-37B7-4A34-BBD0-63FBCAD82253}</author>
    <author>tc={5D4104A7-DF46-4D21-9418-AB4ECBCD3808}</author>
    <author>tc={A2C41BAA-BDC3-4AE1-A9CD-C98040DAABD8}</author>
    <author>tc={90B45EDC-EA2B-4845-8933-CA8D338C814F}</author>
    <author>tc={BC349EDD-5F6F-43F4-B630-5B97DEA3CA11}</author>
    <author>tc={A5018201-055E-4359-8346-D1DBC47CC6A6}</author>
    <author>tc={81F2F099-9309-4E50-8A5E-4BB72790A7BF}</author>
    <author>tc={419FF0B0-BE4E-4DBD-8D57-DB26C1806314}</author>
    <author>tc={ED400A49-E888-4C7D-BC56-CB3D40AA6CC3}</author>
    <author>tc={7DA3F0F8-ABFE-484C-B3C3-41BC3006FC68}</author>
    <author>tc={D1F15FC0-213F-4D89-AD47-799790E20197}</author>
    <author>tc={AF93E6E4-E695-4F4D-8207-5C6AE3384EFB}</author>
    <author>tc={350E39F2-4FF6-4678-A865-1B669612FBFF}</author>
    <author>tc={E8742802-6AE9-4C82-9F59-4AA832E1A2C6}</author>
    <author>tc={AA645BAE-4CEE-4E60-99FF-7257C710C554}</author>
    <author>tc={2FD9E474-C566-47F9-AF82-B68598F854D6}</author>
    <author>tc={D38A50FC-4DC4-4360-AC74-77237A83EC49}</author>
    <author>tc={BEAAC9A8-433B-4649-ACC1-F11E3674F788}</author>
    <author>tc={7B13B48B-AF94-46A8-A2A4-70FF296F4AA9}</author>
    <author>tc={49205FF2-4F4C-4B73-9337-9BD4F25FE5FF}</author>
    <author>tc={60488C30-912B-4ADD-B733-D85551FA9FB5}</author>
    <author>tc={13E48E77-3F3E-428D-9E33-0C0118739C7F}</author>
    <author>tc={0B21DE3D-1A1E-4B03-8795-46A0625D7E3A}</author>
    <author>tc={5736C86E-6834-4756-B856-B05EF93BC68E}</author>
    <author>tc={85610DB1-4075-4B3E-ADBC-4111C4D78359}</author>
    <author>tc={EDD1A3D4-0A08-4B77-AB4E-310E8D9BCCE3}</author>
    <author>tc={A6523FC1-935A-4093-B9A8-3C198E8D17D5}</author>
    <author>tc={A7736117-9815-47CE-BD01-6EFC041D606D}</author>
    <author>tc={36B83584-02C1-4D2B-B5EC-8F9BBE3BC271}</author>
    <author>tc={AC24667E-5F51-4E2F-8C03-8D6AEEB6E78B}</author>
    <author>tc={5873B5BA-2E44-4AB1-A75B-F309B8FB9E81}</author>
    <author>tc={07AC9AFC-1A2C-4260-A819-DE7E77D2C7A2}</author>
    <author>tc={FB8EDD60-CE02-48E3-AA71-AC370F5D7D2F}</author>
    <author>tc={B8306FF7-E295-4DA1-9DE7-0D1CD6541DBD}</author>
    <author>tc={51B5E794-AFEC-4272-BDDB-687DE3FF43EA}</author>
    <author>tc={542676DB-C7D5-194E-9162-A3F670A7464A}</author>
    <author>tc={43461DBA-AED6-4167-951E-D464C94D007B}</author>
    <author>tc={B2A54F44-C82C-0E42-A841-9A26447B8B17}</author>
    <author>tc={5BAA03FC-6F2E-43C0-ACEB-68A7C0DC29BC}</author>
    <author>tc={C72B1A9C-E5C0-4BCC-988C-720EF6D15755}</author>
    <author>tc={55299DD3-0769-4CB8-BF80-9F6EF5E1E9DD}</author>
    <author>tc={C87545EF-5A40-4B8D-9CAE-B44F83D977E8}</author>
    <author>tc={C5ED3289-961D-4A88-985A-A7000E04AB55}</author>
    <author>tc={0CC13CA7-97ED-436B-95F6-14203A9F194F}</author>
    <author>tc={C0F5D6BC-78B9-424A-A83E-8BFFCCAD40CE}</author>
    <author>tc={F4A264CE-0EBC-4E6B-9402-FFF7115064B6}</author>
    <author>tc={34EE3A5F-6C3E-4E9B-9AF1-AEB131C436FE}</author>
    <author>tc={385FADA9-5222-427D-90C0-2A72B003C73B}</author>
    <author>tc={B38CCC49-DDF0-4E61-911F-00B3F5BF8315}</author>
    <author>tc={11BCE411-AEED-4EF0-8DCD-62E9A2C90882}</author>
    <author>tc={FEA04274-F0E1-4B39-B164-A005A7A2F74D}</author>
    <author>tc={B6B66022-B93F-45ED-B5A8-B967065A5B16}</author>
    <author>tc={9477CFBF-3174-4080-94C9-9DD30E7C235B}</author>
    <author>tc={03AA627D-1667-48BB-86F1-B8AB79D31A35}</author>
    <author>tc={31A98349-9949-4F21-AF48-49DA037E3F43}</author>
    <author>tc={1DB6BB64-01DA-45E1-BB40-F4D776B6B88A}</author>
    <author>tc={ED3F7286-0328-4A96-91A5-74FC022D1C01}</author>
    <author>tc={6EDAD0D1-4A8E-E440-89EA-0E8DCD6E3529}</author>
    <author>tc={3A2B14D1-9CC8-43CD-808B-D3567D66C41F}</author>
    <author>tc={74915E49-C7E3-41B9-A0FF-36BB86D7A5AD}</author>
    <author>tc={75AEFB35-1ABF-4F1D-8E0A-0B297B53EF5D}</author>
    <author>tc={F966021F-141C-40AB-9589-DA1D6245BAA4}</author>
    <author>tc={37C72014-F102-4592-A624-02488A8255A5}</author>
    <author>tc={C2ECD62D-95B3-4991-A64B-D0AC47F99310}</author>
    <author>tc={F31D018F-F78B-48DD-B1D0-0C986D754002}</author>
    <author>tc={EC6269EE-DA76-40F8-96B7-6143A1B4A83F}</author>
    <author>tc={DE82863C-CCF0-477D-911B-A72EB0158D59}</author>
    <author>tc={EADA3255-3960-48CE-86B5-AD6BF781E051}</author>
    <author>tc={845292AF-F6DF-469C-B34C-7A06F4D06578}</author>
    <author>tc={C35F4BF8-1509-4208-82ED-2599F0F07B34}</author>
    <author>tc={2A54B8AE-8F0F-4E62-8243-2EE3C562C46A}</author>
    <author>tc={5A833C54-7234-4A3B-AB9F-6D14E2704641}</author>
    <author>tc={92A55962-DB66-4C14-A045-1E17A9FDBA01}</author>
    <author>tc={61B5C811-C673-4941-B5E3-0C60A06243EE}</author>
    <author>tc={063B0F85-8AF6-40E0-892D-BA1C17543A59}</author>
    <author>tc={48954257-8AAF-4F8F-BA83-529B99FC30CF}</author>
    <author>tc={A4B685EA-39D6-4253-8FB9-C243989E6EDF}</author>
    <author>tc={D70828E5-8756-47FB-A4E8-4A4DB81ADA88}</author>
    <author>tc={6855EE31-DADE-496F-ABC1-E46DEF070E36}</author>
    <author>tc={86DC8DF5-06C9-44E4-BC69-542B8E7DEB2C}</author>
    <author>tc={C95826CC-DBA8-4D23-B53E-975031588F23}</author>
    <author>tc={592C9AF3-3399-4ADB-A1FF-7DC31413892B}</author>
    <author>tc={7610A4D4-4B80-2043-AA7B-9C95DCE0BF68}</author>
    <author>tc={F3BE722C-ABC3-4223-8F68-873FAC3E3650}</author>
    <author>tc={949B5C84-1DE9-47A4-83C8-D24CD4348DB5}</author>
    <author>tc={71D10606-188D-4389-BCC2-7D52C4A3652E}</author>
    <author>tc={80439AF4-382C-4127-9CA8-90570A537993}</author>
    <author>tc={A2B3C6D0-F2DF-459D-8EEC-EAA4E6F29205}</author>
    <author>tc={447B33DD-4B7A-4908-9F8C-743FC95E67EC}</author>
    <author>tc={F6E78839-EE92-4971-975B-EF3BB3915356}</author>
    <author>tc={59B94D23-1C96-4EB2-AA0B-0782F72E763D}</author>
    <author>tc={C5404FEB-1DCA-E243-A366-F59FBE1CE585}</author>
    <author>tc={9DB1DD80-D9A2-4919-AC0E-DB9752594E77}</author>
    <author>tc={1C93BE6B-8BBE-4AE7-8492-D926C058EBFE}</author>
    <author>tc={49E00593-9E53-4D6D-83FD-59743B6E4953}</author>
    <author>tc={3F8C1840-03C7-4AD3-BF94-979DA84DB82F}</author>
    <author>tc={93A303FA-CA4E-43CF-BE49-0953BB7C3945}</author>
    <author>tc={6B15D66A-5996-4CCE-B5F6-680FD15D03F3}</author>
    <author>tc={590987D1-799F-41B8-9801-2B605C2EB74E}</author>
    <author>tc={8FEB244F-E982-4C32-A49F-92FF948154C3}</author>
    <author>tc={D2C90AA5-0B60-1848-89A6-8D5961FFC29C}</author>
    <author>tc={8A7BBC96-EC57-463C-999E-9FEFAE3FF82F}</author>
    <author>tc={3830F465-4D13-534A-B873-3B9E1AAFAE2C}</author>
    <author>tc={9C73E963-7E58-C24C-B8BF-E033730B3AEB}</author>
    <author>tc={AD7FF26A-DB56-384F-9E9E-F16A223EE3EF}</author>
    <author>tc={94CAEAC0-0F7C-5E46-A669-50232F802A8C}</author>
    <author>tc={C5BB1C64-6AEE-9D4E-8098-091324FF4C58}</author>
    <author>tc={66E06712-2CDD-3649-9955-48448B986471}</author>
    <author>tc={ECDA74C2-7B26-1247-9636-F2AE95CCB858}</author>
    <author>tc={42EA30C2-3E7F-B442-8F02-9A3F89CC71E7}</author>
    <author>tc={CA5583D0-5CF5-B249-ABC5-6764D1DCEE97}</author>
    <author>tc={382D6784-5DF1-7142-AA49-1FDB3DEEB6CD}</author>
    <author>tc={64AC2AE4-9AAD-4C04-9383-0D0249FEE83D}</author>
    <author>tc={1CDC957F-BF3A-4CD7-BFA2-95895F507273}</author>
    <author>tc={F1AD11C0-B625-4307-80A5-F0A114DD0EEA}</author>
    <author>tc={51AC95A3-243D-4A8D-86A9-363376004C68}</author>
    <author>tc={3BC60931-6BFB-490C-B6AF-4EE5D848A00C}</author>
    <author>tc={788733E1-95FE-4E69-8C12-B962FE5501A7}</author>
    <author>tc={5D19346F-25D6-4AFD-B6DE-8858FE4BD89A}</author>
    <author>tc={F03CA265-F252-41F1-BD95-3653CECD0C38}</author>
    <author>tc={92064A79-92A7-A24E-86DC-9F4383E2B35F}</author>
    <author>tc={EC45AE71-BFC3-47E7-9530-877B66B99E55}</author>
    <author>tc={2B1D039B-D26A-4049-8FEE-22682A5FCD02}</author>
    <author>tc={F9251AF8-CA22-48E5-A233-B33BA236194C}</author>
    <author>tc={5039A56A-E9D5-4D80-A0CC-75AE83A5848B}</author>
    <author>tc={D6E34FB5-3534-48E9-9ECB-027F8F27CE18}</author>
    <author>tc={C96A9F42-C16F-4275-8614-33ED1395D2E5}</author>
    <author>tc={80DF1976-29E4-4899-B381-252D842D19F2}</author>
    <author>tc={ED78412E-A569-4465-90EF-EE3DE5DC444F}</author>
    <author>tc={445EBF05-E119-4047-A384-CC5B3826DA78}</author>
    <author>tc={32C50BE8-1A1E-4D35-A383-1C69A8C198C3}</author>
    <author>tc={E365D8FF-0A97-5948-B471-B968DB04EF4C}</author>
    <author>tc={535C1C73-F9E5-40A8-AA32-6C1185AB8D8C}</author>
    <author>tc={05C65DD9-9A54-417B-87FB-E92767A24FDA}</author>
    <author>tc={B1EA7635-0047-4ED2-9CAD-A42E36BECD31}</author>
    <author>tc={BB1F718B-EF1C-4EB1-80D2-0A3CA7C06A7B}</author>
    <author>tc={C6D69973-F1BB-42D9-9EC9-86A31FE38A4D}</author>
    <author>tc={E5BBBED3-5054-481B-AA5A-B7EA2B741525}</author>
    <author>tc={32349917-30E1-447D-AA05-57DA8185722D}</author>
    <author>tc={0357AA12-66F5-458B-AB57-67018A9D9ED8}</author>
    <author>tc={6DB9AAE2-90E4-49B7-898D-A4E4805F675D}</author>
    <author>tc={0DBC2E0C-ABF6-4ACA-8E45-759CE4E0FCA7}</author>
    <author>tc={89EA7C5F-23CC-4BAC-AF12-AE02EA8CAE18}</author>
    <author>tc={A0F25CF4-408F-4285-9B32-F0799A70FCFA}</author>
    <author>tc={69BBA36A-EF87-49F7-AFBB-69DA9F95C553}</author>
    <author>tc={75DE0751-7013-4129-A9AE-96396A857E03}</author>
    <author>tc={4B325C55-BEE1-49CA-9ABF-35D3479FB133}</author>
    <author>tc={9BCC1255-5742-4C8C-A7B6-108FD1E9711F}</author>
    <author>tc={09683EFE-CCDE-4AD4-A3FE-5FE534D8D320}</author>
    <author>tc={8B55DF40-A4A6-466E-B426-2416EDC742A2}</author>
    <author>tc={BBE919CC-EF86-4119-BB87-C9E2E380D873}</author>
    <author>tc={12C105AF-CC50-4170-8A6F-114D33A1A58C}</author>
    <author>tc={F4244443-B8B9-FA4B-BDC4-75AE602C69BE}</author>
    <author>tc={164FC0CB-3025-4049-A316-DE73AE65A468}</author>
    <author>tc={6E9B3FEA-3F2A-40EC-BE82-60041F8563E1}</author>
    <author>tc={9702E421-95D7-4046-8C62-8C68C130EECA}</author>
    <author>tc={D1DE2E32-B9A6-42D6-B3DE-3E2B809B2989}</author>
    <author>tc={AD3E2C4D-2F5F-4DD6-AAB0-05723C411FF4}</author>
    <author>tc={71BB9EE9-ECBA-43C3-A4D2-77B81DE2CA73}</author>
    <author>tc={F80D6A1E-4937-4A08-B911-F573F83192F7}</author>
    <author>tc={F96D1847-EE70-4FF2-8F6D-54B273DDB5B1}</author>
    <author>tc={377B6BDB-A6C8-4B2E-8CCA-A1BC327662F4}</author>
    <author>tc={DC856A3E-BF2F-4B88-801E-80544B56ECF9}</author>
    <author>tc={84F2AFB8-0712-4F4E-97FF-1E198F052BE8}</author>
    <author>tc={129A8375-5AE5-4B46-8A59-4D2B531C0865}</author>
    <author>tc={3A6EAF86-3BFB-4912-B4B7-AC1034A2869A}</author>
    <author>tc={1C6DA0D5-F996-4077-BECA-C614DFD15079}</author>
    <author>tc={9C23906E-1ECC-48B2-B8A0-BB94E8E626DF}</author>
    <author>tc={FDB05D8C-22D0-4F5A-831D-425C094D21E3}</author>
    <author>tc={88F672B7-7EEB-48DB-97C9-8E6ADB030F1A}</author>
    <author>tc={82F8705B-BCE6-476D-9954-F611E5ED0D12}</author>
    <author>tc={98F7552A-92EC-C64A-A979-85527413992D}</author>
    <author>tc={1B59DE47-EF39-4268-9B30-C252F24EC4FD}</author>
    <author>tc={8B80F231-4C6F-4D38-956C-1E42A7BE9CF5}</author>
    <author>tc={C7E5420F-01AB-4EF6-9634-7E01A573D3B6}</author>
    <author>tc={038B971C-4208-45B6-A2A1-255C58D64614}</author>
    <author>tc={3A89C19C-AD7D-4E7A-8319-932C83DCCDF9}</author>
    <author>tc={71E4496A-5722-364A-8844-F79D5341803D}</author>
    <author>tc={8DD2A863-0CD1-D74B-985C-43B783C380E0}</author>
    <author>tc={EEDC4EA3-0D78-4141-BB8B-784527DA9812}</author>
    <author>tc={0AAA4DEB-F154-47A0-800A-47FA34B2800B}</author>
    <author>tc={E1D44ECA-9429-4E56-94E7-19775B2C1F67}</author>
    <author>tc={6CBB9F89-4054-4A60-9624-F6FB72073664}</author>
    <author>tc={182CA39E-8247-4C07-94BA-D5D2C9C76A1B}</author>
    <author>tc={19D5D8D2-7B40-4C30-AB41-96051666ADFB}</author>
    <author>tc={30720D77-9C8C-4A8A-BFC8-664B9251AE1C}</author>
    <author>tc={09C4F5F2-B74E-4077-A73E-72281C423886}</author>
    <author>tc={A94054F3-B6CB-4DB3-8FFB-054F3F8E15E5}</author>
    <author>tc={8E94C109-B284-4C5E-94A2-C653C0836441}</author>
    <author>tc={B5D0DB9A-BD9A-499C-816C-1B0853DAF2CE}</author>
    <author>tc={AD99BE68-2176-4C51-B7ED-EE3CB1F302AD}</author>
    <author>tc={749D9D7F-C84B-4D14-8DC4-5B7234349868}</author>
    <author>tc={DAA4E126-0B15-4827-82EF-711F87D2BB89}</author>
    <author>tc={DCFABD91-7449-4252-AB53-813F2EB549B4}</author>
    <author>tc={2C319438-7E21-4A34-99F1-B5B619CA2A8B}</author>
    <author>tc={3E719B46-BDFD-485F-95EB-D27CBF7DBA9C}</author>
    <author>tc={F5AE8D69-D5B7-463C-9792-D88398CC2D30}</author>
    <author>tc={3DB2D8A4-0BBF-487D-8A1A-80F3CF885310}</author>
    <author>tc={1C7F59F2-78CC-4EB2-9898-D1E5BF79C233}</author>
    <author>tc={D1D90AB2-C851-4E8A-BBCA-F703C008E5FF}</author>
    <author>tc={4080E478-C89B-490C-AD98-BC51FF7DC432}</author>
    <author>tc={80F1AD0A-4655-4F58-9B06-875F67B858B2}</author>
    <author>tc={BA7ED3BB-A053-46FE-8425-108BFAF8ECBC}</author>
    <author>tc={6E3FA31A-7C03-4FB5-9AD7-22F5E14B5B41}</author>
    <author>tc={771F95B6-D3AE-4BBD-9F59-749F5B181A7C}</author>
    <author>tc={FB97DF3A-108B-4056-92AE-137851E054B1}</author>
    <author>tc={6BA85A68-FDB8-44F4-B313-01279C17208E}</author>
    <author>tc={E16412CE-8E47-4FD0-8A47-D85007C9F959}</author>
    <author>tc={68AAB07B-96EF-4AD4-9549-FAAD10BC50BE}</author>
    <author>tc={05EF436E-7042-2540-BF94-7C91D9B26E4A}</author>
    <author>tc={68D55081-B6BA-44DC-8EC3-ADEBC5AB6DE3}</author>
    <author>tc={A775E6D3-B394-45FC-B8BF-2D1978E8994C}</author>
    <author>tc={42C1C05E-61E0-487A-A340-438C3C17D0A4}</author>
    <author>tc={759CAFE8-D185-4A72-A5C8-30343DE60E9F}</author>
    <author>tc={EB2B296E-2601-44B4-97F4-4B6D4B04933F}</author>
    <author>tc={888BB855-1B51-4C80-8D79-E760D38C28D0}</author>
    <author>tc={514B020D-CB34-43F2-80B7-9FD9FA20E491}</author>
    <author>tc={1C44986E-8976-474F-97E3-7A22015381C8}</author>
    <author>tc={9F8673F1-33BA-4B18-AB9E-A874FDA299B7}</author>
    <author>tc={5A624193-088F-4398-ACB1-69276E298CE7}</author>
    <author>tc={DAC54D8A-F700-4E00-9FF3-598C0685EF27}</author>
    <author>tc={B8F09402-1ACC-48D0-889B-71A63AA00577}</author>
    <author>tc={6CE763F9-B9B3-468C-B78E-09D72E6561CF}</author>
    <author>tc={D2766271-146E-164E-93F6-95DAF89932FD}</author>
    <author>tc={709F1C1E-69AE-41E2-AF80-779B80E3298E}</author>
    <author>tc={979DC151-86C3-49ED-B2B8-4ABB8FDF8603}</author>
    <author>tc={9E8031EC-7777-4F6E-8DA9-30529769C643}</author>
    <author>tc={DCEB8929-D7B4-459F-93A8-A68AC59F786C}</author>
    <author>tc={639E2D3D-927A-44E9-8CA5-559D48F244DF}</author>
    <author>tc={47743B0A-28DC-4777-BEC3-03C051ED2512}</author>
    <author>tc={2B0B6D10-293D-4AF8-9FC7-E7F01A382B29}</author>
    <author>tc={CFFE0803-E7F2-4E50-A87A-9DDA4817ECD3}</author>
    <author>tc={027F1A0C-F061-4802-BA0E-725A23DF9151}</author>
    <author>tc={A3F82B5B-D5F6-4C10-9861-2E3C51F215FF}</author>
    <author>tc={4991E3AA-38A7-9A43-A967-F49323FC0D0F}</author>
    <author>tc={2E52702E-4240-4EFC-AD0E-84D114BE7187}</author>
    <author>tc={0F1B2FD3-4E77-4561-9DF5-3B44470C95C3}</author>
    <author>tc={1A1DAF22-6858-5249-9921-11C0368BC716}</author>
    <author>tc={D6315F0B-ECDA-DB4C-9E40-7D8A171B655A}</author>
    <author>tc={6C69677B-AD99-4292-9299-E16F1EEEF2DC}</author>
    <author>tc={CE3AE806-9D00-4FE4-83B4-A8710F6F9E1C}</author>
    <author>tc={9F9165FC-B774-43D5-AD21-EE01D8BF4B49}</author>
    <author>tc={455021A7-DCC2-4F57-BA1D-F2CE71149631}</author>
    <author>tc={A42BE2B6-84A2-4D96-A16A-C2CF70F91AB3}</author>
    <author>tc={D6C9EBA6-BC52-456A-AFCE-4C0EE404C0BB}</author>
    <author>tc={5B7FAC7C-6F8D-4906-A76B-1BF820B825DA}</author>
    <author>tc={F2C3E73F-0A38-4CC3-A93B-71B7A3B28B76}</author>
    <author>tc={A868C322-B4F7-4C52-ACAC-1E2B0F830190}</author>
    <author>tc={1AA1D340-7BF4-41B3-A9BB-21F695ECEE87}</author>
    <author>tc={807CD37E-3E5F-E24C-A9EC-89A99A2ACB33}</author>
    <author>tc={AA6D635A-C0FB-4F9B-848D-4C8F8A3A5C30}</author>
    <author>tc={22CA1597-B3ED-447B-94BD-A56E01F5EC8D}</author>
    <author>tc={5A3CF298-939A-426B-9528-D8906A84CD0C}</author>
    <author>tc={BE0C5E65-8826-4055-8190-5899AF569151}</author>
    <author>tc={9DA9A4D0-0092-48A6-9A76-10C109D9939B}</author>
    <author>tc={3F5B24C8-78C5-164A-BEC4-9F91D3915674}</author>
    <author>tc={CC9A8279-E5F8-4EA6-827C-23A20AC12F1F}</author>
    <author>tc={3865991A-973B-42BA-90EC-3599B3057975}</author>
    <author>tc={15A42149-8BA2-4FAD-8813-F1A9F5C474E9}</author>
    <author>tc={A799BB96-15AB-4C3B-BAB1-5E01A5BE39EF}</author>
    <author>tc={FA743F14-1ACC-42D3-BF69-5D97DBA633C8}</author>
    <author>tc={79FDAEA1-D94D-BC4F-812F-724B0744ADC9}</author>
    <author>tc={987FC041-750D-4BD7-9FA8-4E9CE5C6459B}</author>
    <author>tc={34C6606C-9DAA-4490-BF22-6424BFD5E6F2}</author>
    <author>tc={C950C19A-7F28-4B6E-9899-A81FD6B63FAF}</author>
    <author>tc={89BEBFC3-A024-4CAC-91FC-70D815859198}</author>
    <author>tc={32A5AA03-3941-44CA-B178-4A2A1E14A5D3}</author>
    <author>tc={9D0C869D-A93E-4E75-B710-394308B65005}</author>
    <author>tc={8B9B1409-0DA9-4E2E-BE55-CCBCC139489F}</author>
    <author>tc={9DF52175-3441-43F3-B76E-2546225D587F}</author>
    <author>tc={214E6DD0-C6E9-418C-A405-9B40025D2A0E}</author>
    <author>tc={4ECF9608-4D24-4271-89BD-4D64BA490A9C}</author>
    <author>tc={3F91359E-8A07-4DFB-B02A-0B084B1651DE}</author>
    <author>tc={BA1B78C1-2DFE-4C5A-ABC9-83D4387E142C}</author>
    <author>tc={DAB4B45C-F195-44A0-A7CD-9D87A7CA31EF}</author>
    <author>tc={E3D82598-1CF4-4F46-8A53-510B6F1F4817}</author>
    <author>tc={723075FB-9B61-4DAD-A224-494143D40FDE}</author>
    <author>tc={157239D1-FF1B-4E4D-B7F1-C77ACD024D98}</author>
    <author>tc={5CAFF6C7-B482-4D21-9EBE-6244E23F20A0}</author>
    <author>tc={1AFB5B47-8C3D-4100-A597-8EBD7D2EAC65}</author>
    <author>tc={EDD53067-970E-4302-B1FB-100EBB2B0AD9}</author>
    <author>tc={A3414097-A692-4986-B199-ABC91C73277F}</author>
    <author>tc={F9241458-7C56-49BE-BEBE-FC93D0A1B2B6}</author>
    <author>tc={C694C162-4BC3-49BC-A9F8-965FDCC49C18}</author>
    <author>tc={254C0D18-D945-49B5-9703-D64389BE7128}</author>
    <author>tc={F281DC4A-D6A9-4701-9C4E-8256DA006818}</author>
    <author>tc={0DC74CF8-9387-4CAA-A4A6-84B0F6AED04E}</author>
    <author>tc={0C598717-9A5A-4115-96D6-2C9A0E2A053A}</author>
    <author>tc={199EDB47-0A39-4498-B127-9CEB8ECA13EC}</author>
    <author>tc={416937B8-4294-DB49-BFBF-F6398AE3B112}</author>
    <author>tc={6BF2AF7E-F7F3-4088-BDED-94F00011D056}</author>
    <author>tc={E35A7048-AF13-4BD0-8311-73F022F94C73}</author>
    <author>tc={8722F112-4F49-435D-BFA3-2F61CED694B4}</author>
    <author>tc={F291679E-F168-485D-A091-9C93481C89C2}</author>
    <author>tc={E4831A3E-496F-4349-A5E5-021698D4D2BF}</author>
    <author>tc={DAC62352-D10F-43DC-8696-A53E3D4C78AB}</author>
    <author>tc={00A5BAC2-55D3-4E6B-B6A4-AB12E379561D}</author>
    <author>tc={6513AE9E-6010-4CCE-BD8A-C5D43AD8D08E}</author>
    <author>tc={81384463-A8F3-4B89-8DA8-568DFE290046}</author>
    <author>tc={1E96D997-E0AC-42F4-9230-46736E304DCC}</author>
    <author>tc={180ECC70-E588-4BAD-B3B0-ADB21B1F0FD8}</author>
    <author>tc={F1F2946E-CD8B-4B14-8CA9-4D107A26612F}</author>
    <author>tc={767649A1-EE40-4B6C-8B33-E59840D62A6E}</author>
    <author>tc={1347C15C-93FE-443D-BD25-B89BD18F725C}</author>
    <author>tc={EEDE24A4-45B8-4805-ABCC-71E0DB1D2F32}</author>
    <author>tc={B6F5D54C-9597-4976-957D-641A29DC94AD}</author>
    <author>tc={FE3B5365-CE14-4B24-BE79-08C4111ED917}</author>
    <author>tc={F181BDB0-6920-44E2-90A5-8D20A1030149}</author>
    <author>tc={EACE2468-460C-4AA7-9C71-C3DF365D6659}</author>
    <author>tc={6ECA8035-6CC1-426D-9430-D387DD9D62FE}</author>
    <author>tc={4B40EBF4-168A-43D8-9ABE-3E11DFCBFBEA}</author>
    <author>tc={02E0793D-FD49-440A-8E55-FB8A9D7D09D8}</author>
    <author>tc={A6BC855B-0104-4A72-AA02-366FF53C5ED6}</author>
    <author>tc={9CF00F0F-43FE-4991-A6C1-4195A9647F93}</author>
  </authors>
  <commentList>
    <comment ref="K3" authorId="0" shapeId="0" xr:uid="{2BE3E98A-81BD-4039-8293-34DAF7EBA643}">
      <text>
        <t>[Threaded comment]
Your version of Excel allows you to read this threaded comment; however, any edits to it will get removed if the file is opened in a newer version of Excel. Learn more: https://go.microsoft.com/fwlink/?linkid=870924
Comment:
    Date: 06 October 2024</t>
      </text>
    </comment>
    <comment ref="AD5" authorId="1" shapeId="0" xr:uid="{BA9BFC63-2DD8-4242-93B3-9A7261AC94E9}">
      <text>
        <t>[Threaded comment]
Your version of Excel allows you to read this threaded comment; however, any edits to it will get removed if the file is opened in a newer version of Excel. Learn more: https://go.microsoft.com/fwlink/?linkid=870924
Comment:
    “To be included, meta-analyses had to be published from the year 2000 onward, had to deal with higher education or some defined adult population and in the case where K-12 studies were also addressed had to contain average effect sizes with higher education separated from other grade levels“</t>
      </text>
    </comment>
    <comment ref="AG5" authorId="2" shapeId="0" xr:uid="{2B0816FD-5659-4EEF-A9EB-CCEAA283E00A}">
      <text>
        <t xml:space="preserve">[Threaded comment]
Your version of Excel allows you to read this threaded comment; however, any edits to it will get removed if the file is opened in a newer version of Excel. Learn more: https://go.microsoft.com/fwlink/?linkid=870924
Comment:
    “Two of these are unpublished dissertations and the other two appear as journal articles.” </t>
      </text>
    </comment>
    <comment ref="AH5" authorId="3" shapeId="0" xr:uid="{66762CC8-1752-483F-AA26-C3857FB123E5}">
      <text>
        <t>[Threaded comment]
Your version of Excel allows you to read this threaded comment; however, any edits to it will get removed if the file is opened in a newer version of Excel. Learn more: https://go.microsoft.com/fwlink/?linkid=870924
Comment:
    “We searched the literature for meta-analyses… “</t>
      </text>
    </comment>
    <comment ref="AN5" authorId="4" shapeId="0" xr:uid="{4D16705E-B019-4082-991D-FB02A47BD374}">
      <text>
        <t xml:space="preserve">[Threaded comment]
Your version of Excel allows you to read this threaded comment; however, any edits to it will get removed if the file is opened in a newer version of Excel. Learn more: https://go.microsoft.com/fwlink/?linkid=870924
Comment:
    "To be included, meta-analyses had to be published from the year 2000 onward, had to deal with higher education or some defined adult population and in the case where K-12 studies were also addressed had to contain average effect sizes with higher education separated from other grade levels." </t>
      </text>
    </comment>
    <comment ref="AO5" authorId="5" shapeId="0" xr:uid="{DEA4A250-4AA9-47EC-B9DB-665F4D79C67A}">
      <text>
        <t xml:space="preserve">[Threaded comment]
Your version of Excel allows you to read this threaded comment; however, any edits to it will get removed if the file is opened in a newer version of Excel. Learn more: https://go.microsoft.com/fwlink/?linkid=870924
Comment:
    "Often it is randomized control trials and high-quality quasi-experiments, but sometimes, random assignment and pretesting are not possible so that lesser quality studies must be included." </t>
      </text>
    </comment>
    <comment ref="AW5" authorId="6" shapeId="0" xr:uid="{DFE09BF6-4443-47F2-818F-E11DBE647DA5}">
      <text>
        <t>[Threaded comment]
Your version of Excel allows you to read this threaded comment; however, any edits to it will get removed if the file is opened in a newer version of Excel. Learn more: https://go.microsoft.com/fwlink/?linkid=870924
Comment:
    “All effect sizes that were originally calculated as Cohen’s d, or some other metric, were converted to Hedges’ g for the sake of consistency. “</t>
      </text>
    </comment>
    <comment ref="BF5" authorId="7" shapeId="0" xr:uid="{60DA7080-5E50-4561-82E6-AD7178D9C213}">
      <text>
        <t xml:space="preserve">[Threaded comment]
Your version of Excel allows you to read this threaded comment; however, any edits to it will get removed if the file is opened in a newer version of Excel. Learn more: https://go.microsoft.com/fwlink/?linkid=870924
Comment:
    "Two expert reviewers who have participated in conducting many previous meta-analyses rated the 13 meta-analyses"​ </t>
      </text>
    </comment>
    <comment ref="BJ5" authorId="8" shapeId="0" xr:uid="{29104E90-55D0-4B50-B47C-17E128EBF026}">
      <text>
        <t xml:space="preserve">[Threaded comment]
Your version of Excel allows you to read this threaded comment; however, any edits to it will get removed if the file is opened in a newer version of Excel. Learn more: https://go.microsoft.com/fwlink/?linkid=870924
Comment:
    "The final collection of 13 meta-analyses encompassed 1,316 primary studies, some that were undoubtedly overlapping, especially in the more general meta-analyses"​ </t>
      </text>
    </comment>
    <comment ref="BL5" authorId="9" shapeId="0" xr:uid="{D2A1152D-C2BC-422E-8951-16D99C3ECBFD}">
      <text>
        <t xml:space="preserve">[Threaded comment]
Your version of Excel allows you to read this threaded comment; however, any edits to it will get removed if the file is opened in a newer version of Excel. Learn more: https://go.microsoft.com/fwlink/?linkid=870924
Comment:
    Study overlap was acknowledged, but the authors argued that the issue is less severe in second-order meta-analysis since standard errors are based on the number of studies, not participants :
"In a second-order meta-analysis the possibility of overlapping studies is high, but because the standard error (i.e., the denominator of a z-ratio) is based on the number of studies, instead of participants, the problem is less severe"​ 
So did not do anything…?
</t>
      </text>
    </comment>
    <comment ref="BQ5" authorId="10" shapeId="0" xr:uid="{51159014-F59E-4376-84ED-BE6DB548FFDD}">
      <text>
        <t xml:space="preserve">[Threaded comment]
Your version of Excel allows you to read this threaded comment; however, any edits to it will get removed if the file is opened in a newer version of Excel. Learn more: https://go.microsoft.com/fwlink/?linkid=870924
Comment:
    "These 22 ratings for each meta-analysis were collapsed into six methodological categories and averaged so that each category was rated on the three-point scale"​ </t>
      </text>
    </comment>
    <comment ref="BR5" authorId="11" shapeId="0" xr:uid="{E579D0FC-1DFF-44BB-810E-8A87C7AF9873}">
      <text>
        <t xml:space="preserve">[Threaded comment]
Your version of Excel allows you to read this threaded comment; however, any edits to it will get removed if the file is opened in a newer version of Excel. Learn more: https://go.microsoft.com/fwlink/?linkid=870924
Comment:
    "We reanalyzed the collection by removing studies that contained more than one methodological flaw (X) and recalculated the random effects model."​ </t>
      </text>
    </comment>
    <comment ref="CS5" authorId="12" shapeId="0" xr:uid="{8F198AF3-5D5F-438E-B447-71F2FDDF035A}">
      <text>
        <t xml:space="preserve">[Threaded comment]
Your version of Excel allows you to read this threaded comment; however, any edits to it will get removed if the file is opened in a newer version of Excel. Learn more: https://go.microsoft.com/fwlink/?linkid=870924
Comment:
    "In addition, when effect size was regressed on the interval-level MQIM (using the mixed effects method of moments approach), a slightly negative but not significant slope resulted (b = -0.004, p = .62)." </t>
      </text>
    </comment>
    <comment ref="CW5" authorId="13" shapeId="0" xr:uid="{1435AA34-F155-4EC9-8A43-04B7BC1AE8BE}">
      <text>
        <t xml:space="preserve">[Threaded comment]
Your version of Excel allows you to read this threaded comment; however, any edits to it will get removed if the file is opened in a newer version of Excel. Learn more: https://go.microsoft.com/fwlink/?linkid=870924
Comment:
    "We reanalyzed the collection by removing studies that contained more than one methodological flaw (X) and recalculated the random effects model."​
"When five studies, with either two or four Xs were removed, the results did diminish (g?? = 0.393–0.283), and the distribution became homogeneous with virtually no between-study variability."​ </t>
      </text>
    </comment>
    <comment ref="DE5" authorId="14" shapeId="0" xr:uid="{9BBCF968-1FB1-4E3B-B340-6617F5B75E93}">
      <text>
        <t>[Threaded comment]
Your version of Excel allows you to read this threaded comment; however, any edits to it will get removed if the file is opened in a newer version of Excel. Learn more: https://go.microsoft.com/fwlink/?linkid=870924
Comment:
    Table 1</t>
      </text>
    </comment>
    <comment ref="DF5" authorId="15" shapeId="0" xr:uid="{F875B920-30AE-4957-B30D-11C20CDE92CB}">
      <text>
        <t>[Threaded comment]
Your version of Excel allows you to read this threaded comment; however, any edits to it will get removed if the file is opened in a newer version of Excel. Learn more: https://go.microsoft.com/fwlink/?linkid=870924
Comment:
    Table 2</t>
      </text>
    </comment>
    <comment ref="DH5" authorId="16" shapeId="0" xr:uid="{2CDD99E8-D215-40BA-94EC-E8E4F0709DD8}">
      <text>
        <t>[Threaded comment]
Your version of Excel allows you to read this threaded comment; however, any edits to it will get removed if the file is opened in a newer version of Excel. Learn more: https://go.microsoft.com/fwlink/?linkid=870924
Comment:
    Table 4</t>
      </text>
    </comment>
    <comment ref="W6" authorId="17" shapeId="0" xr:uid="{4E9FA3C9-88DF-4826-AABA-59009B5107C7}">
      <text>
        <t>[Threaded comment]
Your version of Excel allows you to read this threaded comment; however, any edits to it will get removed if the file is opened in a newer version of Excel. Learn more: https://go.microsoft.com/fwlink/?linkid=870924
Comment:
    Appendix 2</t>
      </text>
    </comment>
    <comment ref="AE6" authorId="18" shapeId="0" xr:uid="{A356CB79-0426-4789-9183-6B0F7C0C6B2A}">
      <text>
        <t>[Threaded comment]
Your version of Excel allows you to read this threaded comment; however, any edits to it will get removed if the file is opened in a newer version of Excel. Learn more: https://go.microsoft.com/fwlink/?linkid=870924
Comment:
    "This study is limited to studies published in English between 2010 and 2021."</t>
      </text>
    </comment>
    <comment ref="AO6" authorId="19" shapeId="0" xr:uid="{98EC8E07-E599-4A4E-AE97-D28FE14E6DD8}">
      <text>
        <t xml:space="preserve">[Threaded comment]
Your version of Excel allows you to read this threaded comment; however, any edits to it will get removed if the file is opened in a newer version of Excel. Learn more: https://go.microsoft.com/fwlink/?linkid=870924
Comment:
    "The research covered by meta-analysis studies should be researched in experimental design." </t>
      </text>
    </comment>
    <comment ref="AW6" authorId="20" shapeId="0" xr:uid="{C959FE0A-B71D-4575-8B94-37BA947F27A7}">
      <text>
        <t xml:space="preserve">[Threaded comment]
Your version of Excel allows you to read this threaded comment; however, any edits to it will get removed if the file is opened in a newer version of Excel. Learn more: https://go.microsoft.com/fwlink/?linkid=870924
Comment:
    Cohen's d and Hedges' g as primary effect sizes. Other effect sizes, such as Fisher’s z and Pearson’s r, were converted to d values for consistency​.
"Meta-analysis studies should contain sufficient statistical data to calculate the generic effect size (e.g., Cohen's d, Hedges' g and lower limit (LL), the upper limit (UP), standard error (SE), and variance value depending on these effect sizes)." 
"One of the studies (k=1) that formed the data set of this study reported Fisher's z as effect size and one (k=1) reported Pearson correlation coefficient (r) as effect size. These effect sizes were converted to d values." 
"Since g is used more frequently as an effect size index in this study, the g value is preferred as a generic effect size."​ </t>
      </text>
    </comment>
    <comment ref="BJ6" authorId="21" shapeId="0" xr:uid="{14AAB117-03D8-43E8-89D6-5E9AFA7D7BCA}">
      <text>
        <t xml:space="preserve">[Threaded comment]
Your version of Excel allows you to read this threaded comment; however, any edits to it will get removed if the file is opened in a newer version of Excel. Learn more: https://go.microsoft.com/fwlink/?linkid=870924
Comment:
    "The overlap rate between meta-analysis studies should be at most 25%. If the overlap rate is less than 25%, it is accepted that meta-analysis studies are independent."​ </t>
      </text>
    </comment>
    <comment ref="BN6" authorId="22" shapeId="0" xr:uid="{AC222EE9-A093-4885-B7B6-063103B770C5}">
      <text>
        <t xml:space="preserve">[Threaded comment]
Your version of Excel allows you to read this threaded comment; however, any edits to it will get removed if the file is opened in a newer version of Excel. Learn more: https://go.microsoft.com/fwlink/?linkid=870924
Comment:
    "The Revised Assessment of Multiple Systematic Reviews (R-AMSTAR) scale was used to evaluate the quality of meta-analysis studies."​ </t>
      </text>
    </comment>
    <comment ref="BR6" authorId="23" shapeId="0" xr:uid="{746FDD76-5AEC-468B-9EFB-311923C6203D}">
      <text>
        <t xml:space="preserve">[Threaded comment]
Your version of Excel allows you to read this threaded comment; however, any edits to it will get removed if the file is opened in a newer version of Excel. Learn more: https://go.microsoft.com/fwlink/?linkid=870924
Comment:
    "Effect sizes were calculated according to moderator variables, and whether the effect size differed according to the moderator variables was checked with the Q between tests." </t>
      </text>
    </comment>
    <comment ref="CC6" authorId="24" shapeId="0" xr:uid="{368511D1-B7E4-4172-91A8-6C955B62EE29}">
      <text>
        <t xml:space="preserve">[Threaded comment]
Your version of Excel allows you to read this threaded comment; however, any edits to it will get removed if the file is opened in a newer version of Excel. Learn more: https://go.microsoft.com/fwlink/?linkid=870924
Comment:
    "If the studies contain effect sizes related to more than one learning outcome, the average effect size produced by the research was calculated."
"Only effect sizes depending on the experimental research group were used if the studies included experimental and relational models."​
</t>
      </text>
    </comment>
    <comment ref="CL6" authorId="25" shapeId="0" xr:uid="{B2344E11-6C4E-4BCE-9363-0EB651FC9BB9}">
      <text>
        <t xml:space="preserve">[Threaded comment]
Your version of Excel allows you to read this threaded comment; however, any edits to it will get removed if the file is opened in a newer version of Excel. Learn more: https://go.microsoft.com/fwlink/?linkid=870924
Comment:
    "The total heterogeneity of the data set was calculated as Q=298.47 (p&lt;.01). The heterogeneity level of the data set is high (I2=92.63)."​ </t>
      </text>
    </comment>
    <comment ref="CS6" authorId="26" shapeId="0" xr:uid="{4856B5F0-471B-407F-A2C1-04A787A2F676}">
      <text>
        <t xml:space="preserve">[Threaded comment]
Your version of Excel allows you to read this threaded comment; however, any edits to it will get removed if the file is opened in a newer version of Excel. Learn more: https://go.microsoft.com/fwlink/?linkid=870924
Comment:
    "Effect sizes were calculated according to moderator variables, and whether the effect size differed according to the moderator variables was checked with the Q between tests."​ </t>
      </text>
    </comment>
    <comment ref="DA6" authorId="27" shapeId="0" xr:uid="{F63E7CE3-FB72-4D53-9584-FEC27644E18E}">
      <text>
        <t>[Threaded comment]
Your version of Excel allows you to read this threaded comment; however, any edits to it will get removed if the file is opened in a newer version of Excel. Learn more: https://go.microsoft.com/fwlink/?linkid=870924
Comment:
    Figure 1</t>
      </text>
    </comment>
    <comment ref="DB6" authorId="28" shapeId="0" xr:uid="{2550A269-62B1-4EFF-8A74-C01483C655AF}">
      <text>
        <t>[Threaded comment]
Your version of Excel allows you to read this threaded comment; however, any edits to it will get removed if the file is opened in a newer version of Excel. Learn more: https://go.microsoft.com/fwlink/?linkid=870924
Comment:
    Figure 2</t>
      </text>
    </comment>
    <comment ref="DE6" authorId="29" shapeId="0" xr:uid="{3C430D90-F9D5-498B-87DC-A3418504890C}">
      <text>
        <t xml:space="preserve">[Threaded comment]
Your version of Excel allows you to read this threaded comment; however, any edits to it will get removed if the file is opened in a newer version of Excel. Learn more: https://go.microsoft.com/fwlink/?linkid=870924
Comment:
    Appendix 2 </t>
      </text>
    </comment>
    <comment ref="DG6" authorId="30" shapeId="0" xr:uid="{D6E81477-1961-48E6-850A-205D96636432}">
      <text>
        <t>[Threaded comment]
Your version of Excel allows you to read this threaded comment; however, any edits to it will get removed if the file is opened in a newer version of Excel. Learn more: https://go.microsoft.com/fwlink/?linkid=870924
Comment:
    Table 2</t>
      </text>
    </comment>
    <comment ref="DH6" authorId="31" shapeId="0" xr:uid="{AAD4E3D1-2DCA-4183-BA6E-AFA174F13700}">
      <text>
        <t>[Threaded comment]
Your version of Excel allows you to read this threaded comment; however, any edits to it will get removed if the file is opened in a newer version of Excel. Learn more: https://go.microsoft.com/fwlink/?linkid=870924
Comment:
    Table 2</t>
      </text>
    </comment>
    <comment ref="DJ6" authorId="32" shapeId="0" xr:uid="{CCA40500-0080-4709-9F12-B7C99F382A99}">
      <text>
        <t>[Threaded comment]
Your version of Excel allows you to read this threaded comment; however, any edits to it will get removed if the file is opened in a newer version of Excel. Learn more: https://go.microsoft.com/fwlink/?linkid=870924
Comment:
    Shortly mentioned in discussion</t>
      </text>
    </comment>
    <comment ref="I7" authorId="33" shapeId="0" xr:uid="{DA0E28DA-8EE5-4C52-99A5-2AAB7B8C4F52}">
      <text>
        <t>[Threaded comment]
Your version of Excel allows you to read this threaded comment; however, any edits to it will get removed if the file is opened in a newer version of Excel. Learn more: https://go.microsoft.com/fwlink/?linkid=870924
Comment:
    Searched for similar articles in Web of science and added a suiting area</t>
      </text>
    </comment>
    <comment ref="X7" authorId="34" shapeId="0" xr:uid="{89469D52-C4CC-43FE-BDD8-EE3A2A843BA8}">
      <text>
        <t xml:space="preserve">[Threaded comment]
Your version of Excel allows you to read this threaded comment; however, any edits to it will get removed if the file is opened in a newer version of Excel. Learn more: https://go.microsoft.com/fwlink/?linkid=870924
Comment:
    Tables 5, 6, and 7 present data across various years; however, they include only the 118 effect sizes rather than all 131 meta-analyses. The paper specifies that the studies are from the year 2000 onward, ensuring there are none before 2000. Additionally, since the review was conducted in 2022, there are no studies published after 2021. </t>
      </text>
    </comment>
    <comment ref="AI7" authorId="35" shapeId="0" xr:uid="{D466E6C2-BFA8-4D8C-8C96-357F4E56DD51}">
      <text>
        <t>[Threaded comment]
Your version of Excel allows you to read this threaded comment; however, any edits to it will get removed if the file is opened in a newer version of Excel. Learn more: https://go.microsoft.com/fwlink/?linkid=870924
Comment:
    “... joined with the inclusion of “meta-analysis” in the title, abstract or descriptors and a third concept targeting achievement outcomes. “</t>
      </text>
    </comment>
    <comment ref="AM7" authorId="36" shapeId="0" xr:uid="{D69D743D-5848-4F46-BBAF-75C76951E268}">
      <text>
        <t>[Threaded comment]
Your version of Excel allows you to read this threaded comment; however, any edits to it will get removed if the file is opened in a newer version of Excel. Learn more: https://go.microsoft.com/fwlink/?linkid=870924
Comment:
    Abstract was screened: 8.34% (60 out of 719 studies)</t>
      </text>
    </comment>
    <comment ref="AO7" authorId="37" shapeId="0" xr:uid="{CC86BE05-AF61-4F65-A6B9-787B73A6C769}">
      <text>
        <t>[Threaded comment]
Your version of Excel allows you to read this threaded comment; however, any edits to it will get removed if the file is opened in a newer version of Excel. Learn more: https://go.microsoft.com/fwlink/?linkid=870924
Comment:
    The paper does not explicitly list the types of primary study designs included in the meta-analyses. However, based on the methodological description and focus on quantitative syntheses,  I thought maybe we could call it quantitative designs?
“Only quantitative syntheses (true meta-analyses) were admitted to the final analytical stage.”</t>
      </text>
    </comment>
    <comment ref="AW7" authorId="38" shapeId="0" xr:uid="{5A74CFC2-18F5-4EAF-9C7C-BC215F21FC92}">
      <text>
        <t xml:space="preserve">[Threaded comment]
Your version of Excel allows you to read this threaded comment; however, any edits to it will get removed if the file is opened in a newer version of Excel. Learn more: https://go.microsoft.com/fwlink/?linkid=870924
Comment:
    “All types of the ES metric (i.e., Cohen’s d, k = 50; Hedges’ g, k = 76; and Pearson’s r, k = 2) were admitted.” </t>
      </text>
    </comment>
    <comment ref="BF7" authorId="39" shapeId="0" xr:uid="{C4AF0CC0-0F7C-4510-914B-588BCA595A21}">
      <text>
        <t>[Threaded comment]
Your version of Excel allows you to read this threaded comment; however, any edits to it will get removed if the file is opened in a newer version of Excel. Learn more: https://go.microsoft.com/fwlink/?linkid=870924
Comment:
    “First, the entire collection of identified abstracts was split among the team members, all experienced researchers with at least a decade of experience in conducting systematic reviews, who screened their respective portion of studies independently. In this preliminary review they set aside abstracts that needed a second opinion so that the entire team could discuss whether or not to include them. This allowed a range of reliability measures (expressed as Cohen’s kappa) to be established — from the percentage of studies (out of the initial total) that merited a second opinion to the portion whose original independent judgement was confirmed through the team discussion. The same procedure was employed for the full-text documents’ review, as well as at the effect size extraction and coding of moderator variables (with several discussion sessions throughout the entire review implementation) stages. “</t>
      </text>
    </comment>
    <comment ref="BH7" authorId="40" shapeId="0" xr:uid="{25799759-CCAE-FB46-832B-597CD1836386}">
      <text>
        <t>[Threaded comment]
Your version of Excel allows you to read this threaded comment; however, any edits to it will get removed if the file is opened in a newer version of Excel. Learn more: https://go.microsoft.com/fwlink/?linkid=870924
Comment:
    “We aimed to achieve a reliability rate of around 0.7 for either of these metrics as the assurance of the overall reliability of all types of coding.”</t>
      </text>
    </comment>
    <comment ref="BJ7" authorId="41" shapeId="0" xr:uid="{098B97E0-1369-4F3A-ABE0-430EF7E4E2F7}">
      <text>
        <t xml:space="preserve">[Threaded comment]
Your version of Excel allows you to read this threaded comment; however, any edits to it will get removed if the file is opened in a newer version of Excel. Learn more: https://go.microsoft.com/fwlink/?linkid=870924
Comment:
    "Note that this current review does not estimate the degree of potential overlap in individual primary research studies in the admitted meta-analyses. As shown by Tamim et al. (2011), in the supplementary validation study, this time- and labour-consuming complex procedure does not add precision to the overall findings of a second-order meta-analysis." </t>
      </text>
    </comment>
    <comment ref="BQ7" authorId="42" shapeId="0" xr:uid="{AA8BAFE9-F0D7-43DB-BC02-15C3DC21F41D}">
      <text>
        <t xml:space="preserve">[Threaded comment]
Your version of Excel allows you to read this threaded comment; however, any edits to it will get removed if the file is opened in a newer version of Excel. Learn more: https://go.microsoft.com/fwlink/?linkid=870924
Comment:
    "It comprises 22 items that were designed to assess 22 areas of reporting quality in meta-analyses. Each item has a corresponding three-level qualitative characterisation." </t>
      </text>
    </comment>
    <comment ref="BR7" authorId="43" shapeId="0" xr:uid="{A687FFD2-FE04-4D49-89F0-BCED38DC298D}">
      <text>
        <t xml:space="preserve">[Threaded comment]
Your version of Excel allows you to read this threaded comment; however, any edits to it will get removed if the file is opened in a newer version of Excel. Learn more: https://go.microsoft.com/fwlink/?linkid=870924
Comment:
    "In the current second-order meta-analysis, we relied on assessments of the methodological quality of primary (first-order) meta-analyses under review both to inform inclusion/exclusion decisions and to act as a methodological moderator variable." </t>
      </text>
    </comment>
    <comment ref="BS7" authorId="44" shapeId="0" xr:uid="{AB735167-9250-4F76-8E78-98A878603384}">
      <text>
        <t xml:space="preserve">[Threaded comment]
Your version of Excel allows you to read this threaded comment; however, any edits to it will get removed if the file is opened in a newer version of Excel. Learn more: https://go.microsoft.com/fwlink/?linkid=870924
Comment:
    "We calculated weights for each effect size extracted from these meta-analyses based on the doubled number of independent effect sizes in every one of them (i.e., the number of independent comparisons, each necessarily involving an experimental and a control condition — hence, increased by a factor of two). We then used the random effects model for the aggregation of individual effect sizes." </t>
      </text>
    </comment>
    <comment ref="CB7" authorId="45" shapeId="0" xr:uid="{CD493451-551D-4B34-AC3D-CBBD30D2F8FF}">
      <text>
        <t>[Threaded comment]
Your version of Excel allows you to read this threaded comment; however, any edits to it will get removed if the file is opened in a newer version of Excel. Learn more: https://go.microsoft.com/fwlink/?linkid=870924
Comment:
    "A degree of publication bias was detected for the In-Class Technology Integration collection, and a minor adjustment to the overall weighted average effect size was subsequently implemented"</t>
      </text>
    </comment>
    <comment ref="CF7" authorId="46" shapeId="0" xr:uid="{4916D6AE-5A46-457C-BF2C-4594EBC3DAF1}">
      <text>
        <t>[Threaded comment]
Your version of Excel allows you to read this threaded comment; however, any edits to it will get removed if the file is opened in a newer version of Excel. Learn more: https://go.microsoft.com/fwlink/?linkid=870924
Comment:
    “Standard analytical procedures (e.g., one-study-removed, classic fail-safe, Duval and Tweedie’s trim and fill, funnel plot examination) were performed to detect, and, if necessary, correct for, potential publication and outlier biases (see Borenstein et al., 2009, and Duval &amp; Tweedie, 2000). “</t>
      </text>
    </comment>
    <comment ref="CM7" authorId="47" shapeId="0" xr:uid="{A6DC7150-8858-FA42-B049-A2C561A79D39}">
      <text>
        <t>[Threaded comment]
Your version of Excel allows you to read this threaded comment; however, any edits to it will get removed if the file is opened in a newer version of Excel. Learn more: https://go.microsoft.com/fwlink/?linkid=870924
Comment:
     “Also, and no less importantly, the removal of this effect size substantially reduces the heterogeneity of the distribution. Non-significant to begin with (QTotal = 16.60, p = .084), it drops dramatically to a negligible level of QTotal = 4.16 (p = .901) and makes the results of both analytical models identical. It means that there is no unexplained variability left in the resulting distribution (I2  = 0.00). “</t>
      </text>
    </comment>
    <comment ref="CR7" authorId="48" shapeId="0" xr:uid="{50058148-2F8B-4EA2-88AD-FE0676195E99}">
      <text>
        <t xml:space="preserve">[Threaded comment]
Your version of Excel allows you to read this threaded comment; however, any edits to it will get removed if the file is opened in a newer version of Excel. Learn more: https://go.microsoft.com/fwlink/?linkid=870924
Comment:
    "Coding, and more importantly analysis, of moderator variables largely depends on what categories are consistently accounted for across admitted meta-analyses" </t>
      </text>
    </comment>
    <comment ref="CS7" authorId="49" shapeId="0" xr:uid="{CF1EAEB7-C9C8-42AF-90EB-26D4D069CA76}">
      <text>
        <t xml:space="preserve">[Threaded comment]
Your version of Excel allows you to read this threaded comment; however, any edits to it will get removed if the file is opened in a newer version of Excel. Learn more: https://go.microsoft.com/fwlink/?linkid=870924
Comment:
    ”We made a serious effort to identify all repeatedly available moderator variables and use the mixed effects analytical model to explore and explain variations in the outcomes associated with the systematic influence of these variables.” </t>
      </text>
    </comment>
    <comment ref="CW7" authorId="50" shapeId="0" xr:uid="{4ADD1F86-E20B-4C25-8C26-C400CF38BE52}">
      <text>
        <t>[Threaded comment]
Your version of Excel allows you to read this threaded comment; however, any edits to it will get removed if the file is opened in a newer version of Excel. Learn more: https://go.microsoft.com/fwlink/?linkid=870924
Comment:
    “Additional sensitivity analysis and analyses of methodological moderator variables further reduced the data set to 118 effect sizes distributed across educational settings’ type as follows”</t>
      </text>
    </comment>
    <comment ref="DA7" authorId="51" shapeId="0" xr:uid="{2F33DEC6-5D67-44C2-AAE7-41345ECD2E07}">
      <text>
        <t>[Threaded comment]
Your version of Excel allows you to read this threaded comment; however, any edits to it will get removed if the file is opened in a newer version of Excel. Learn more: https://go.microsoft.com/fwlink/?linkid=870924
Comment:
    Figure 1</t>
      </text>
    </comment>
    <comment ref="DB7" authorId="52" shapeId="0" xr:uid="{E1893146-474A-44DF-918E-95B0983CF6E6}">
      <text>
        <t>[Threaded comment]
Your version of Excel allows you to read this threaded comment; however, any edits to it will get removed if the file is opened in a newer version of Excel. Learn more: https://go.microsoft.com/fwlink/?linkid=870924
Comment:
    Figure 2</t>
      </text>
    </comment>
    <comment ref="DD7" authorId="53" shapeId="0" xr:uid="{1C938378-9C71-4BE3-BD90-AE6394F55E6B}">
      <text>
        <t>[Threaded comment]
Your version of Excel allows you to read this threaded comment; however, any edits to it will get removed if the file is opened in a newer version of Excel. Learn more: https://go.microsoft.com/fwlink/?linkid=870924
Comment:
    Figure 3 and 4 Meta-regression analysis of publication date and publication coverage</t>
      </text>
    </comment>
    <comment ref="DE7" authorId="54" shapeId="0" xr:uid="{14800A39-3F55-8946-AABA-5CB4BA64BCBA}">
      <text>
        <t>[Threaded comment]
Your version of Excel allows you to read this threaded comment; however, any edits to it will get removed if the file is opened in a newer version of Excel. Learn more: https://go.microsoft.com/fwlink/?linkid=870924
Comment:
    Table 5,6,7</t>
      </text>
    </comment>
    <comment ref="DF7" authorId="55" shapeId="0" xr:uid="{793CC39D-2AC6-42DB-B1E5-71B6566F475B}">
      <text>
        <t>[Threaded comment]
Your version of Excel allows you to read this threaded comment; however, any edits to it will get removed if the file is opened in a newer version of Excel. Learn more: https://go.microsoft.com/fwlink/?linkid=870924
Comment:
    Table 8 ”Table 8 (below) summarises the overall findings (students’ learning achievement outcomes) for the three types of instructional settings”</t>
      </text>
    </comment>
    <comment ref="DG7" authorId="56" shapeId="0" xr:uid="{F54956F3-DE6E-4E0D-9A38-C942722D47A8}">
      <text>
        <t xml:space="preserve">[Threaded comment]
Your version of Excel allows you to read this threaded comment; however, any edits to it will get removed if the file is opened in a newer version of Excel. Learn more: https://go.microsoft.com/fwlink/?linkid=870924
Comment:
    Table 4 Levels of moderator variables represented in the included meta-analyses (frequencies) across all three collection </t>
      </text>
    </comment>
    <comment ref="DH7" authorId="57" shapeId="0" xr:uid="{5C8E59D7-E6DA-A84B-9A36-CD378AF3821E}">
      <text>
        <t>[Threaded comment]
Your version of Excel allows you to read this threaded comment; however, any edits to it will get removed if the file is opened in a newer version of Excel. Learn more: https://go.microsoft.com/fwlink/?linkid=870924
Comment:
    A table of Items and descriptions in table 3, but not reporting of results</t>
      </text>
    </comment>
    <comment ref="DJ7" authorId="58" shapeId="0" xr:uid="{D079096A-66EC-46E1-81DC-16CEC0DB8013}">
      <text>
        <t>[Threaded comment]
Your version of Excel allows you to read this threaded comment; however, any edits to it will get removed if the file is opened in a newer version of Excel. Learn more: https://go.microsoft.com/fwlink/?linkid=870924
Comment:
    Page 74</t>
      </text>
    </comment>
    <comment ref="DM7" authorId="59" shapeId="0" xr:uid="{8FD3981D-26A4-4846-A648-AF7E0A6D51C0}">
      <text>
        <t>[Threaded comment]
Your version of Excel allows you to read this threaded comment; however, any edits to it will get removed if the file is opened in a newer version of Excel. Learn more: https://go.microsoft.com/fwlink/?linkid=870924
Comment:
    Special need students were excluded, but not directly discussed as a lack of diversity.</t>
      </text>
    </comment>
    <comment ref="DO7" authorId="60" shapeId="0" xr:uid="{99718E69-5C79-4932-A962-786E0DEFCEAC}">
      <text>
        <t xml:space="preserve">[Threaded comment]
Your version of Excel allows you to read this threaded comment; however, any edits to it will get removed if the file is opened in a newer version of Excel. Learn more: https://go.microsoft.com/fwlink/?linkid=870924
Comment:
    “Meta-analyses that are less rigorous and less comprehensive tend to produce less reliable (inflated) effect sizes”
</t>
      </text>
    </comment>
    <comment ref="DR7" authorId="61" shapeId="0" xr:uid="{69910728-9F07-441E-8D80-C75D99D304C7}">
      <text>
        <t>[Threaded comment]
Your version of Excel allows you to read this threaded comment; however, any edits to it will get removed if the file is opened in a newer version of Excel. Learn more: https://go.microsoft.com/fwlink/?linkid=870924
Comment:
    “https://oasis.col.org/items/81887d9e-7092-4deb-8cb9-19dfe2568f23“</t>
      </text>
    </comment>
    <comment ref="W8" authorId="62" shapeId="0" xr:uid="{4F5F5D30-A750-48A6-B0D6-985A0DF744F4}">
      <text>
        <t xml:space="preserve">[Threaded comment]
Your version of Excel allows you to read this threaded comment; however, any edits to it will get removed if the file is opened in a newer version of Excel. Learn more: https://go.microsoft.com/fwlink/?linkid=870924
Comment:
    All studies included was from 2002:
"The sampling frame for this study included meta-analyses published in English in peer-reviewed medical journals in the year 2002" </t>
      </text>
    </comment>
    <comment ref="AD8" authorId="63" shapeId="0" xr:uid="{6E689F7F-4201-43D6-8EDF-AD8077DE7AE9}">
      <text>
        <t xml:space="preserve">[Threaded comment]
Your version of Excel allows you to read this threaded comment; however, any edits to it will get removed if the file is opened in a newer version of Excel. Learn more: https://go.microsoft.com/fwlink/?linkid=870924
Comment:
    "Meta-analyses that focused primarily on diagnostic procedures, population screening, prognosis or risk assessment, psychological constructs, adverse effects of therapy, or that used laboratory tests rather than clinical endpoints as their main outcomes were all excluded" </t>
      </text>
    </comment>
    <comment ref="AF8" authorId="64" shapeId="0" xr:uid="{76F2EF88-E07A-48A9-A145-58E44083C471}">
      <text>
        <t xml:space="preserve">[Threaded comment]
Your version of Excel allows you to read this threaded comment; however, any edits to it will get removed if the file is opened in a newer version of Excel. Learn more: https://go.microsoft.com/fwlink/?linkid=870924
Comment:
    "Meta-analyses published in English in peer-reviewed medical journals in the year 2002" </t>
      </text>
    </comment>
    <comment ref="AG8" authorId="65" shapeId="0" xr:uid="{AB56D62D-0CAC-42E1-B90C-09BA2E430E1A}">
      <text>
        <t xml:space="preserve">[Threaded comment]
Your version of Excel allows you to read this threaded comment; however, any edits to it will get removed if the file is opened in a newer version of Excel. Learn more: https://go.microsoft.com/fwlink/?linkid=870924
Comment:
    "No attempt was made to identify unpublished meta-analyses (also known as the 'file drawer problem')" </t>
      </text>
    </comment>
    <comment ref="AH8" authorId="66" shapeId="0" xr:uid="{EE119A7B-E786-4375-B1FD-7915F0AD8932}">
      <text>
        <t xml:space="preserve">[Threaded comment]
Your version of Excel allows you to read this threaded comment; however, any edits to it will get removed if the file is opened in a newer version of Excel. Learn more: https://go.microsoft.com/fwlink/?linkid=870924
Comment:
    "To identify all meta-analyses published in peer-reviewed medical journals in the year 2002, MEDLINE was searched...using 'meta-analysis' as a text word" </t>
      </text>
    </comment>
    <comment ref="AI8" authorId="67" shapeId="0" xr:uid="{053108B4-60F3-4C55-918D-C74E541C89BA}">
      <text>
        <t xml:space="preserve">[Threaded comment]
Your version of Excel allows you to read this threaded comment; however, any edits to it will get removed if the file is opened in a newer version of Excel. Learn more: https://go.microsoft.com/fwlink/?linkid=870924
Comment:
    "Search Strategy: 1. meta-analysis.tw." </t>
      </text>
    </comment>
    <comment ref="AO8" authorId="68" shapeId="0" xr:uid="{1DC6706D-3E43-46F3-ACB9-C86E07F218ED}">
      <text>
        <t xml:space="preserve">[Threaded comment]
Your version of Excel allows you to read this threaded comment; however, any edits to it will get removed if the file is opened in a newer version of Excel. Learn more: https://go.microsoft.com/fwlink/?linkid=870924
Comment:
    "Since a recent systematic review challenged the justification of this practice (MacLehose et al., 2000), it was assumed that sampling from medical journals would be more likely to include also meta-analyses that are based on both randomized controlled trials and quasi-experimental or observational studies" </t>
      </text>
    </comment>
    <comment ref="AW8" authorId="69" shapeId="0" xr:uid="{A0CE7DDA-7CEB-486C-BE19-23B3AAE12DFF}">
      <text>
        <t xml:space="preserve">[Threaded comment]
Your version of Excel allows you to read this threaded comment; however, any edits to it will get removed if the file is opened in a newer version of Excel. Learn more: https://go.microsoft.com/fwlink/?linkid=870924
Comment:
    "Index effect sizes were recorded in their original format. That is, for continuous outcomes, either as weighted mean difference (WMD) or standardized weighted mean difference (SMD, equivalent to Cohen's d). For dichotomous outcomes, the odds ratio (OR), risk ratio or relative risk (RR), rate difference (RD or ARR), and the hazard ratio (HR) were most commonly used" </t>
      </text>
    </comment>
    <comment ref="BF8" authorId="70" shapeId="0" xr:uid="{4B974C2B-5659-42B5-9D9B-4E8A7C0A50A7}">
      <text>
        <t xml:space="preserve">[Threaded comment]
Your version of Excel allows you to read this threaded comment; however, any edits to it will get removed if the file is opened in a newer version of Excel. Learn more: https://go.microsoft.com/fwlink/?linkid=870924
Comment:
    "A 10% reliability check against original references was done on two different occasions before the analysis" </t>
      </text>
    </comment>
    <comment ref="BS8" authorId="71" shapeId="0" xr:uid="{DBFB3CAC-C95B-F04D-9B7E-C76123D19B33}">
      <text>
        <t>[Threaded comment]
Your version of Excel allows you to read this threaded comment; however, any edits to it will get removed if the file is opened in a newer version of Excel. Learn more: https://go.microsoft.com/fwlink/?linkid=870924
Comment:
    “The mean ES for continuous variables was d 0.50 (SD 0.35, 95%CI 0.32-0.69) and for dichotomous variables odds ratio 1.51 (SD 1.39, 95%CI 0.9-2.13; p&gt;0.05).”</t>
      </text>
    </comment>
    <comment ref="CC8" authorId="72" shapeId="0" xr:uid="{850F84EC-C9A3-44CB-8FA8-3F9533930143}">
      <text>
        <t xml:space="preserve">[Threaded comment]
Your version of Excel allows you to read this threaded comment; however, any edits to it will get removed if the file is opened in a newer version of Excel. Learn more: https://go.microsoft.com/fwlink/?linkid=870924
Comment:
    "The effect size of interest would be the one most directly related to the main study question... In cases in which more than one effect size estimate was directly related to the main study question, the one that was based on maximum studies and maximum subjects would be recorded" </t>
      </text>
    </comment>
    <comment ref="CD8" authorId="73" shapeId="0" xr:uid="{1232557D-8E7D-D74D-BA68-AFA9E979C42A}">
      <text>
        <t xml:space="preserve">[Threaded comment]
Your version of Excel allows you to read this threaded comment; however, any edits to it will get removed if the file is opened in a newer version of Excel. Learn more: https://go.microsoft.com/fwlink/?linkid=870924
Comment:
    "Because almost all meta-analyses tend to report many such estimates... a decision was made to record only one effect size estimate for each meta-analysis…”  (1) The effect size of interest would be the one most directly related to the main study question; (2) In cases in which more than one effect size estimate was directly related to the main study question, the one that was based on maximum studies and maximum subjects would be recorded; (3) In cases in which the main study question specified more than one outcome of interest (ex. both morbidity and
mortality), the effect size that was most directly related to the more severe outcome
would be recorded; (4) In cases in which the main study question specified one outcome of interest but in more than one time point (ex. mortality at 3 month and 6 month), the effect size that described tlie Jong-term outcome would be recorded; and (5) In cases in which effect size estimates were calculated in more than one way (ex. intention-to-treat analysis vs. only patients who have been followed up for the entire duration of the study),
the effect size estimate calculated using the more stringent method would be recorded following the recommendation of the Cochrane Collaboration (Clarke &amp; Oxman, 2002). </t>
      </text>
    </comment>
    <comment ref="CE8" authorId="74" shapeId="0" xr:uid="{A4EF8AA0-FFC5-456F-BD9A-43212A210536}">
      <text>
        <t xml:space="preserve">[Threaded comment]
Your version of Excel allows you to read this threaded comment; however, any edits to it will get removed if the file is opened in a newer version of Excel. Learn more: https://go.microsoft.com/fwlink/?linkid=870924
Comment:
    "Although concerns have been raised that meta-analyses confined to the English language may result in publication bias... these concerns do not seem to apply to the present study" </t>
      </text>
    </comment>
    <comment ref="DA8" authorId="75" shapeId="0" xr:uid="{13F61F35-DB8D-4001-912E-6193FEFFBC7B}">
      <text>
        <t>[Threaded comment]
Your version of Excel allows you to read this threaded comment; however, any edits to it will get removed if the file is opened in a newer version of Excel. Learn more: https://go.microsoft.com/fwlink/?linkid=870924
Comment:
    Figure 2.1</t>
      </text>
    </comment>
    <comment ref="DC8" authorId="76" shapeId="0" xr:uid="{65B709BD-8C8F-4331-9816-7DD351F0CBE9}">
      <text>
        <t>[Threaded comment]
Your version of Excel allows you to read this threaded comment; however, any edits to it will get removed if the file is opened in a newer version of Excel. Learn more: https://go.microsoft.com/fwlink/?linkid=870924
Comment:
    Figure 2.2-2.5</t>
      </text>
    </comment>
    <comment ref="DE8" authorId="77" shapeId="0" xr:uid="{66D06AA8-8112-40D5-96A4-F4DD94A93B41}">
      <text>
        <t>[Threaded comment]
Your version of Excel allows you to read this threaded comment; however, any edits to it will get removed if the file is opened in a newer version of Excel. Learn more: https://go.microsoft.com/fwlink/?linkid=870924
Comment:
    Table 2</t>
      </text>
    </comment>
    <comment ref="DJ8" authorId="78" shapeId="0" xr:uid="{AA7F812F-3806-4391-A44B-DB7E0CAE5305}">
      <text>
        <t xml:space="preserve">[Threaded comment]
Your version of Excel allows you to read this threaded comment; however, any edits to it will get removed if the file is opened in a newer version of Excel. Learn more: https://go.microsoft.com/fwlink/?linkid=870924
Comment:
    "Although concerns have been raised that meta-analyses confined to the English language may result in publication bias... these concerns do not seem to apply to the present study" </t>
      </text>
    </comment>
    <comment ref="AE9" authorId="79" shapeId="0" xr:uid="{947813D3-0598-4FAD-8D91-EF9276519B16}">
      <text>
        <t>[Threaded comment]
Your version of Excel allows you to read this threaded comment; however, any edits to it will get removed if the file is opened in a newer version of Excel. Learn more: https://go.microsoft.com/fwlink/?linkid=870924
Comment:
    ”We only included meta-analyses published in English. ”</t>
      </text>
    </comment>
    <comment ref="AG9" authorId="80" shapeId="0" xr:uid="{2E7F8C92-9AA6-4C69-90ED-B4755C50D6D8}">
      <text>
        <t>[Threaded comment]
Your version of Excel allows you to read this threaded comment; however, any edits to it will get removed if the file is opened in a newer version of Excel. Learn more: https://go.microsoft.com/fwlink/?linkid=870924
Comment:
    “16 meta-analyses (13% unpublished)”</t>
      </text>
    </comment>
    <comment ref="AJ9" authorId="81" shapeId="0" xr:uid="{38086A43-C82A-432E-8292-4A286885F4DB}">
      <text>
        <t>[Threaded comment]
Your version of Excel allows you to read this threaded comment; however, any edits to it will get removed if the file is opened in a newer version of Excel. Learn more: https://go.microsoft.com/fwlink/?linkid=870924
Comment:
    ”All authors independently evaluated the meta-analyses using the inclusion criteria below. Discrepancies were resolved by the first author. ”</t>
      </text>
    </comment>
    <comment ref="AO9" authorId="82" shapeId="0" xr:uid="{72D34D82-6BB3-43BC-BBBE-7B0158AC78D1}">
      <text>
        <t xml:space="preserve">[Threaded comment]
Your version of Excel allows you to read this threaded comment; however, any edits to it will get removed if the file is opened in a newer version of Excel. Learn more: https://go.microsoft.com/fwlink/?linkid=870924
Comment:
    "We coded research design by noting if the meta-analysis aggregated cross-sectional, case-control/cohort, or longitudinal designs" </t>
      </text>
    </comment>
    <comment ref="AW9" authorId="83" shapeId="0" xr:uid="{6883FE37-2C33-481C-AEB6-E973F4213530}">
      <text>
        <t>[Threaded comment]
Your version of Excel allows you to read this threaded comment; however, any edits to it will get removed if the file is opened in a newer version of Excel. Learn more: https://go.microsoft.com/fwlink/?linkid=870924
Comment:
    “We disaggregated means by group and coded them to compute Cohen’s d. If means were not provided, we coded standardized mean differences (i.e., Cohen’s d and Hedges’s g), correlations, or odds ratios.“</t>
      </text>
    </comment>
    <comment ref="BF9" authorId="84" shapeId="0" xr:uid="{40F05817-B9C0-4C54-9767-80C1CE3DFFA5}">
      <text>
        <t xml:space="preserve">[Threaded comment]
Your version of Excel allows you to read this threaded comment; however, any edits to it will get removed if the file is opened in a newer version of Excel. Learn more: https://go.microsoft.com/fwlink/?linkid=870924
Comment:
    "Two coders (K.M.K. and K.M.C.) independently extracted effect sizes and other data (e.g., moderators and descriptives)" </t>
      </text>
    </comment>
    <comment ref="BG9" authorId="85" shapeId="0" xr:uid="{10AE0B31-8178-493F-B731-5E0998271DA7}">
      <text>
        <t xml:space="preserve">[Threaded comment]
Your version of Excel allows you to read this threaded comment; however, any edits to it will get removed if the file is opened in a newer version of Excel. Learn more: https://go.microsoft.com/fwlink/?linkid=870924
Comment:
    "We established reliability by cross-checking each meta-analytic effect and corresponding variables between the two coders" </t>
      </text>
    </comment>
    <comment ref="BJ9" authorId="86" shapeId="0" xr:uid="{1D1CF588-214D-499E-8B0C-B98252B0F248}">
      <text>
        <t>[Threaded comment]
Your version of Excel allows you to read this threaded comment; however, any edits to it will get removed if the file is opened in a newer version of Excel. Learn more: https://go.microsoft.com/fwlink/?linkid=870924
Comment:
    ”Thus, we present one average difference with all meta-analytic effects and another average difference that only includes effects from meta-analyses with 25% or less overlap across studies. For the second set of analyses, we selected the meta-analysis with the most studies and participants or the most recent meta-analysis.”</t>
      </text>
    </comment>
    <comment ref="BN9" authorId="87" shapeId="0" xr:uid="{70CC1BB2-7C81-4461-B047-0111E24F58CE}">
      <text>
        <t>[Threaded comment]
Your version of Excel allows you to read this threaded comment; however, any edits to it will get removed if the file is opened in a newer version of Excel. Learn more: https://go.microsoft.com/fwlink/?linkid=870924
Comment:
    "We assessed the quality of meta-analyses included by using a quality checklist adapted from Higgins et al. (2013)."​</t>
      </text>
    </comment>
    <comment ref="BQ9" authorId="88" shapeId="0" xr:uid="{5698C05E-556C-4EE6-A1AF-4154B3C79355}">
      <text>
        <t>[Threaded comment]
Your version of Excel allows you to read this threaded comment; however, any edits to it will get removed if the file is opened in a newer version of Excel. Learn more: https://go.microsoft.com/fwlink/?linkid=870924
Comment:
    "We grouped meta-analyses by their quality; scores between 11 and 12 were considered the highest quality while scores between 4 and 6 were considered the lowest quality.”</t>
      </text>
    </comment>
    <comment ref="BR9" authorId="89" shapeId="0" xr:uid="{F1C81672-DC7B-4A4E-8DD4-D047EEC21A92}">
      <text>
        <t xml:space="preserve">[Threaded comment]
Your version of Excel allows you to read this threaded comment; however, any edits to it will get removed if the file is opened in a newer version of Excel. Learn more: https://go.microsoft.com/fwlink/?linkid=870924
Comment:
    "We grouped effect sizes by the quality of the meta-analysis... and employed random-effects meta-analytic techniques of categorical comparisons as a conservative test of differences between weighted averages."​ </t>
      </text>
    </comment>
    <comment ref="CD9" authorId="90" shapeId="0" xr:uid="{EF0D974F-15B8-44F0-AF0A-5067849BA43A}">
      <text>
        <t xml:space="preserve">[Threaded comment]
Your version of Excel allows you to read this threaded comment; however, any edits to it will get removed if the file is opened in a newer version of Excel. Learn more: https://go.microsoft.com/fwlink/?linkid=870924
Comment:
    "Only one overall effect size was included from each meta-analysis." 
"If differences between Whites and minorities were reported for more than one minority sample, we averaged these effect size estimates to compute one estimate of differences between Whites and minorities for each meta-analysis."
"If meta-analyses reported differences for multiple dimensions or types of psychopathology, we averaged across effect sizes within each meta-analysis to obtain one estimate for the overall analysis."​
</t>
      </text>
    </comment>
    <comment ref="CL9" authorId="91" shapeId="0" xr:uid="{9C7A2654-38D7-4097-BBC9-EBC0116A6C13}">
      <text>
        <t xml:space="preserve">[Threaded comment]
Your version of Excel allows you to read this threaded comment; however, any edits to it will get removed if the file is opened in a newer version of Excel. Learn more: https://go.microsoft.com/fwlink/?linkid=870924
Comment:
    ”we report an index of heterogeneity (I²) and variance (τ²) of the weighted averages as measures of between-study variability."​ </t>
      </text>
    </comment>
    <comment ref="CM9" authorId="92" shapeId="0" xr:uid="{1053F91A-3BB6-495D-B802-82C43367A5AD}">
      <text>
        <t xml:space="preserve">[Threaded comment]
Your version of Excel allows you to read this threaded comment; however, any edits to it will get removed if the file is opened in a newer version of Excel. Learn more: https://go.microsoft.com/fwlink/?linkid=870924
Comment:
    "We report an index of heterogeneity (I²) and variance (τ²) of the weighted averages as measures of between-study variability." </t>
      </text>
    </comment>
    <comment ref="CR9" authorId="93" shapeId="0" xr:uid="{EBB2B3B7-C1E2-4760-AB05-762B83CF42E3}">
      <text>
        <t xml:space="preserve">[Threaded comment]
Your version of Excel allows you to read this threaded comment; however, any edits to it will get removed if the file is opened in a newer version of Excel. Learn more: https://go.microsoft.com/fwlink/?linkid=870924
Comment:
    "To address the second aim of our study, we grouped effect sizes by developmental period, mean age, dimension and type of psychopathology, sex, socioeconomic status, income, educational attainment, measure of psychopathology, research design, and decade of publication."​ </t>
      </text>
    </comment>
    <comment ref="CS9" authorId="94" shapeId="0" xr:uid="{FBF281EC-8C1E-43EB-B3D3-B33AB8A6C75B}">
      <text>
        <t xml:space="preserve">[Threaded comment]
Your version of Excel allows you to read this threaded comment; however, any edits to it will get removed if the file is opened in a newer version of Excel. Learn more: https://go.microsoft.com/fwlink/?linkid=870924
Comment:
    "We grouped effect sizes by the quality of the meta-analysis... and employed random-effects meta-analytic techniques of categorical comparisons as a conservative test of differences between weighted averages."​ </t>
      </text>
    </comment>
    <comment ref="CW9" authorId="95" shapeId="0" xr:uid="{6F6C0FB7-68A3-4265-B614-EB47BC1793B7}">
      <text>
        <t xml:space="preserve">[Threaded comment]
Your version of Excel allows you to read this threaded comment; however, any edits to it will get removed if the file is opened in a newer version of Excel. Learn more: https://go.microsoft.com/fwlink/?linkid=870924
Comment:
    "We conducted a sensitivity analysis by removing the largest effect size (d = 1.31) and found that the overall weighted difference was smaller in magnitude and the variability was substantially reduced."​ </t>
      </text>
    </comment>
    <comment ref="DA9" authorId="96" shapeId="0" xr:uid="{EBD83576-5B3C-487A-BE07-C0722F53FDBC}">
      <text>
        <t>[Threaded comment]
Your version of Excel allows you to read this threaded comment; however, any edits to it will get removed if the file is opened in a newer version of Excel. Learn more: https://go.microsoft.com/fwlink/?linkid=870924
Comment:
    Figure 2</t>
      </text>
    </comment>
    <comment ref="DD9" authorId="97" shapeId="0" xr:uid="{48665182-528C-4FA3-B4DE-BC9B3DB0B2C9}">
      <text>
        <t xml:space="preserve">[Threaded comment]
Your version of Excel allows you to read this threaded comment; however, any edits to it will get removed if the file is opened in a newer version of Excel. Learn more: https://go.microsoft.com/fwlink/?linkid=870924
Comment:
    Figure 1. Graphical example of the (a) cultural differences and (b) cultural similarities hypotheses 
Figure 3. Distribution of effect sizes. 
Figure 4. Graphic depiction of our findings on White–minority and between-minority differences in psychopathology </t>
      </text>
    </comment>
    <comment ref="DE9" authorId="98" shapeId="0" xr:uid="{A716F9E2-48E4-4BF9-A63B-26D2E0824B7C}">
      <text>
        <t>[Threaded comment]
Your version of Excel allows you to read this threaded comment; however, any edits to it will get removed if the file is opened in a newer version of Excel. Learn more: https://go.microsoft.com/fwlink/?linkid=870924
Comment:
    Table 1</t>
      </text>
    </comment>
    <comment ref="DF9" authorId="99" shapeId="0" xr:uid="{57059777-D421-4752-A5B2-74ED93F1349C}">
      <text>
        <t>[Threaded comment]
Your version of Excel allows you to read this threaded comment; however, any edits to it will get removed if the file is opened in a newer version of Excel. Learn more: https://go.microsoft.com/fwlink/?linkid=870924
Comment:
    Table 2 and 3</t>
      </text>
    </comment>
    <comment ref="DG9" authorId="100" shapeId="0" xr:uid="{49271D72-7E6E-4AE0-A7BD-433023320796}">
      <text>
        <t>[Threaded comment]
Your version of Excel allows you to read this threaded comment; however, any edits to it will get removed if the file is opened in a newer version of Excel. Learn more: https://go.microsoft.com/fwlink/?linkid=870924
Comment:
    Table 2 and 3</t>
      </text>
    </comment>
    <comment ref="DJ9" authorId="101" shapeId="0" xr:uid="{65DADC0C-E558-4089-BBC5-EE023C8BF6B6}">
      <text>
        <t xml:space="preserve">[Threaded comment]
Your version of Excel allows you to read this threaded comment; however, any edits to it will get removed if the file is opened in a newer version of Excel. Learn more: https://go.microsoft.com/fwlink/?linkid=870924
Comment:
    "Second-order meta-analyses can also account for publication bias by including published and unpublished meta-analyses, as well as meta-analyses that include unpublished studies."​ </t>
      </text>
    </comment>
    <comment ref="DM9" authorId="102" shapeId="0" xr:uid="{AD9F0973-AA26-4A76-8C42-BBD1A3CBC602}">
      <text>
        <t>[Threaded comment]
Your version of Excel allows you to read this threaded comment; however, any edits to it will get removed if the file is opened in a newer version of Excel. Learn more: https://go.microsoft.com/fwlink/?linkid=870924
Comment:
    “Future research should identify the cultural processes that account for differences and similarities, including cultural values, beliefs, behaviors, rituals, identities, community participation, and family socialization practices”</t>
      </text>
    </comment>
    <comment ref="DP9" authorId="103" shapeId="0" xr:uid="{57AF5AF6-0BB7-454D-A303-978FDC0ADFDD}">
      <text>
        <t xml:space="preserve">[Threaded comment]
Your version of Excel allows you to read this threaded comment; however, any edits to it will get removed if the file is opened in a newer version of Excel. Learn more: https://go.microsoft.com/fwlink/?linkid=870924
Comment:
    "We preregistered this study on Open Science Framework on December 18, 2017, before conducting data analyses, to facilitate replication and transparency about our methods."​ </t>
      </text>
    </comment>
    <comment ref="DS9" authorId="104" shapeId="0" xr:uid="{535AEC20-7512-4507-8DA3-50B2F01840C8}">
      <text>
        <t>[Threaded comment]
Your version of Excel allows you to read this threaded comment; however, any edits to it will get removed if the file is opened in a newer version of Excel. Learn more: https://go.microsoft.com/fwlink/?linkid=870924
Comment:
    All materials are available at https:// osf.io/ujcre/ 
e.g Cultural similarities meta-synthesis proposal.pdf.</t>
      </text>
    </comment>
    <comment ref="DU9" authorId="105" shapeId="0" xr:uid="{6A10A56D-C7A8-4358-B09F-1F345A1DAB4C}">
      <text>
        <t xml:space="preserve">[Threaded comment]
Your version of Excel allows you to read this threaded comment; however, any edits to it will get removed if the file is opened in a newer version of Excel. Learn more: https://go.microsoft.com/fwlink/?linkid=870924
Comment:
    Cultural Similarities - Data and analyses.xlsx </t>
      </text>
    </comment>
    <comment ref="K10" authorId="106" shapeId="0" xr:uid="{86147473-8865-4ED7-8774-8F0664B102B5}">
      <text>
        <t>[Threaded comment]
Your version of Excel allows you to read this threaded comment; however, any edits to it will get removed if the file is opened in a newer version of Excel. Learn more: https://go.microsoft.com/fwlink/?linkid=870924
Comment:
    Was two papers (same name and authors, only years differed (2017, 2016)</t>
      </text>
    </comment>
    <comment ref="W10" authorId="107" shapeId="0" xr:uid="{C17F12D3-8571-4ADA-9353-217AE1B64804}">
      <text>
        <t xml:space="preserve">[Threaded comment]
Your version of Excel allows you to read this threaded comment; however, any edits to it will get removed if the file is opened in a newer version of Excel. Learn more: https://go.microsoft.com/fwlink/?linkid=870924
Comment:
    . The search located three meta-analyses to serve as our sources of data (see Table 2 of this study for details): Chiaburu et al. (2011), Podsakoff et al. (2009), and Thomas et al. (2010). 1 </t>
      </text>
    </comment>
    <comment ref="AB10" authorId="108" shapeId="0" xr:uid="{9B01DFEB-AE60-4767-AFC8-DE1355E0858D}">
      <text>
        <t>[Threaded comment]
Your version of Excel allows you to read this threaded comment; however, any edits to it will get removed if the file is opened in a newer version of Excel. Learn more: https://go.microsoft.com/fwlink/?linkid=870924
Comment:
    “To ensure that these meta-analyses did not sample different sub-populations of the workforce, we randomly selected 10% of the primary studies from each meta-analysis (in total, 40 primary studies)”
“We found that 393 primary studies were included in these three meta-analyses. Among them, 22 studies were included in two meta-analyses (8 primary studies were included in both Chiaburu et al. (2011) and Podsakoff et al. (2009); 12 primary studies in both Chiaburu et al. (2011) and Thomas et al. (2010); and 2 primary studies in both Podsakoff et al. (2009) and Thomas et al. (2010)). No primary study was included in all three meta-analyses. Thus, if we count each of these duplicates twice, the overall ratio of overlapping primary studies (duplicates) to all primary studies is 11.2% (=44 / 393). In other words, 88.8% of all primary studies were unique to a single meta-analysis. This suggests that statistical dependence among the three input meta-analyses is modest to small.“</t>
      </text>
    </comment>
    <comment ref="AC10" authorId="109" shapeId="0" xr:uid="{52F8BF5B-3966-471A-8367-6054CBA4EC58}">
      <text>
        <t xml:space="preserve">[Threaded comment]
Your version of Excel allows you to read this threaded comment; however, any edits to it will get removed if the file is opened in a newer version of Excel. Learn more: https://go.microsoft.com/fwlink/?linkid=870924
Comment:
    The dataset indicates sample sizes of 15,860 for OCB-I, 12,745 for OCB-O, and 6,534 for OCB-CH. Since the possibility of overlap between these groups is not clarified, the largest reported number has been selected to provide a more comprehensive estimate. </t>
      </text>
    </comment>
    <comment ref="AD10" authorId="110" shapeId="0" xr:uid="{14DC748B-3CAE-4ED3-A485-8F99F9F021E4}">
      <text>
        <t>[Threaded comment]
Your version of Excel allows you to read this threaded comment; however, any edits to it will get removed if the file is opened in a newer version of Excel. Learn more: https://go.microsoft.com/fwlink/?linkid=870924
Comment:
    “… a large majority of the samples used in each meta-analysis represent North American employees. Second, all three meta-analyses reflect a wide variety of jobs located in a diverse set of organizations and industries. For example, all three meta-analyses sampled employees from the services, manufacturing, and finance, insurance, and real estate industries. Furthermore, all three meta-analyses sampled a wide variety of occupations, including nurses, engineers, mechanics, teachers, prison officers, and firefighters, with many studies indicating that samples represented various different jobs (more details are available from the first author upon request)”</t>
      </text>
    </comment>
    <comment ref="AH10" authorId="111" shapeId="0" xr:uid="{02B4D4A1-D4C0-493E-9B6A-98D727E08DC9}">
      <text>
        <t>[Threaded comment]
Your version of Excel allows you to read this threaded comment; however, any edits to it will get removed if the file is opened in a newer version of Excel. Learn more: https://go.microsoft.com/fwlink/?linkid=870924
Comment:
    ”"We first conducted a literature search including PsychInfo, ProQuest database, and Google Scholar, searching for existing meta-analyses ”</t>
      </text>
    </comment>
    <comment ref="AI10" authorId="112" shapeId="0" xr:uid="{08C27117-360D-45D0-9B09-9D55DDBE6FD6}">
      <text>
        <t>[Threaded comment]
Your version of Excel allows you to read this threaded comment; however, any edits to it will get removed if the file is opened in a newer version of Excel. Learn more: https://go.microsoft.com/fwlink/?linkid=870924
Comment:
    "searching for existing meta-analyses that reported the inter-correlations (a) among task performance, OCB-I, OCB-O, and OCB-CH, and (b) their correlations with overall job performance”</t>
      </text>
    </comment>
    <comment ref="AN10" authorId="113" shapeId="0" xr:uid="{1D1D96CE-901D-4669-BF57-CCC588E94B71}">
      <text>
        <t xml:space="preserve">[Threaded comment]
Your version of Excel allows you to read this threaded comment; however, any edits to it will get removed if the file is opened in a newer version of Excel. Learn more: https://go.microsoft.com/fwlink/?linkid=870924
Comment:
    “We first conducted a literature search including PsychInfo, ProQuest database, and Google Scholar, searching for existing meta-analyses that reported the inter-correlations (a) among task performance, OCB-I, OCB-O, and OCB-CH, and (b) their correlations with overall job performance, respectively” </t>
      </text>
    </comment>
    <comment ref="AO10" authorId="114" shapeId="0" xr:uid="{E3103197-4951-4C59-B700-C8A46140AA99}">
      <text>
        <t>[Threaded comment]
Your version of Excel allows you to read this threaded comment; however, any edits to it will get removed if the file is opened in a newer version of Excel. Learn more: https://go.microsoft.com/fwlink/?linkid=870924
Comment:
    The description of the samples: "North American employees across diverse industries and job roles," including professions like nurses, engineers, and teachers​.
The lack of explicit mention of experimental designs (e.g., RCTs) or longitudinal designs.
The reliance on workplace data and correlations, typical of cross-sectional and field-based observational studies.
“The meta-analyses we used to fill the cells of our matrix are based on field studies and thus mostly on cross-sectional data. In the absence of experimental or longitudinal designs, our results cannot establish cause-and-effect connections”​</t>
      </text>
    </comment>
    <comment ref="AW10" authorId="115" shapeId="0" xr:uid="{7A60864B-DAB5-410C-A994-48B9B9448958}">
      <text>
        <t xml:space="preserve">[Threaded comment]
Your version of Excel allows you to read this threaded comment; however, any edits to it will get removed if the file is opened in a newer version of Excel. Learn more: https://go.microsoft.com/fwlink/?linkid=870924
Comment:
    “Meta-analytic effect sizes between several subdimensions of OCB-CH and overall performance have been reported... we included the relationships of personal initiative, voice, and taking charge (as predictors) with overall job performance”​(performance ratings”​
"The meta-analytic matrix using the corrected (meta-analytic) effect sizes reported in three previous meta-analyses (Chiaburu et al., 2011; Podsakoff et al., 2009; Thomas et al., 2010)" includes correlations​ 
</t>
      </text>
    </comment>
    <comment ref="BJ10" authorId="116" shapeId="0" xr:uid="{5E157319-AFE1-45AC-AE79-38E74E53F4CC}">
      <text>
        <t xml:space="preserve">[Threaded comment]
Your version of Excel allows you to read this threaded comment; however, any edits to it will get removed if the file is opened in a newer version of Excel. Learn more: https://go.microsoft.com/fwlink/?linkid=870924
Comment:
    "Among them, 22 studies were included in two meta-analyses... the overall ratio of overlapping primary studies (duplicates) to all primary studies is 11.2%"​ </t>
      </text>
    </comment>
    <comment ref="BL10" authorId="117" shapeId="0" xr:uid="{C333578D-5A3F-D34B-A1B8-16053D29044A}">
      <text>
        <t xml:space="preserve">[Threaded comment]
Your version of Excel allows you to read this threaded comment; however, any edits to it will get removed if the file is opened in a newer version of Excel. Learn more: https://go.microsoft.com/fwlink/?linkid=870924
Comment:
    To ensure that these meta-analyses did not sample different sub-populations of the workforce, we randomly selected 10% of the primary studies from each meta-analysis (in total, 40 primary studies).
Reply:
    We found that 393 primary studies were included in these three meta-analyses. Among them, 22 studies were included in two meta-analyses (8 primary studies were included in both Chiaburu et al. (2011) and Podsakoff et al. (2009); 12 primary studies in both Chiaburu et al. (2011) and Thomas et al. (2010); and 2 primary studies in both Podsakoff et al. (2009) and Thomas et al. (2010)). No primary study was included in all three meta-analyses. Thus, if we count each of these duplicates twice, the overall ratio of overlapping primary studies (duplicates) to all primary studies is 11.2% (=44 / 393). In other words, 88.8% of all primary studies were unique to a single meta-analysis. This suggests that statistical dependence among the three input meta-analyses is modest to small. </t>
      </text>
    </comment>
    <comment ref="BS10" authorId="118" shapeId="0" xr:uid="{AA0B6EC0-2FE5-42D5-866B-600878D1DD6A}">
      <text>
        <t xml:space="preserve">[Threaded comment]
Your version of Excel allows you to read this threaded comment; however, any edits to it will get removed if the file is opened in a newer version of Excel. Learn more: https://go.microsoft.com/fwlink/?linkid=870924
Comment:
    "Second-order meta-analysis adjusts for second-order sampling error to improve the accuracy of estimating relationships at the aggregate level" </t>
      </text>
    </comment>
    <comment ref="BT10" authorId="119" shapeId="0" xr:uid="{7B0294D1-A0DF-4C71-99F0-4FA70E06595F}">
      <text>
        <t xml:space="preserve">[Threaded comment]
Your version of Excel allows you to read this threaded comment; however, any edits to it will get removed if the file is opened in a newer version of Excel. Learn more: https://go.microsoft.com/fwlink/?linkid=870924
Comment:
    "This method provides more accurate estimates than averaging multiple first-order meta-analytic estimates by accounting for second-order sampling error" </t>
      </text>
    </comment>
    <comment ref="CC10" authorId="120" shapeId="0" xr:uid="{C98BB281-8F65-47F3-A357-3979902949F2}">
      <text>
        <t xml:space="preserve">[Threaded comment]
Your version of Excel allows you to read this threaded comment; however, any edits to it will get removed if the file is opened in a newer version of Excel. Learn more: https://go.microsoft.com/fwlink/?linkid=870924
Comment:
    "Second-order meta-analysis adjusts for second-order sampling error to improve the accuracy of estimating relationships at the aggregate level" </t>
      </text>
    </comment>
    <comment ref="CD10" authorId="121" shapeId="0" xr:uid="{B837646E-1B0A-4435-A66E-D3DB5C1F0DF8}">
      <text>
        <t xml:space="preserve">[Threaded comment]
Your version of Excel allows you to read this threaded comment; however, any edits to it will get removed if the file is opened in a newer version of Excel. Learn more: https://go.microsoft.com/fwlink/?linkid=870924
Comment:
    "This is indexed by ProVar, computed as the ratio of E(S2eρi) to σ2ρ, representing the proportion of the observed variance explained by second-order sampling error variance"​ </t>
      </text>
    </comment>
    <comment ref="CL10" authorId="122" shapeId="0" xr:uid="{9570782F-AE23-40D4-8944-8A630F724AD9}">
      <text>
        <t xml:space="preserve">[Threaded comment]
Your version of Excel allows you to read this threaded comment; however, any edits to it will get removed if the file is opened in a newer version of Excel. Learn more: https://go.microsoft.com/fwlink/?linkid=870924
Comment:
    "The second-order estimate of observed variance across the three OCB-CH subdimensions-to-overall performance relationships is... the proportion of the observed variance explained by the second-order sampling error variance" </t>
      </text>
    </comment>
    <comment ref="DD10" authorId="123" shapeId="0" xr:uid="{B9126225-61A6-A94C-AB9B-B4E5887F9ED8}">
      <text>
        <t>[Threaded comment]
Your version of Excel allows you to read this threaded comment; however, any edits to it will get removed if the file is opened in a newer version of Excel. Learn more: https://go.microsoft.com/fwlink/?linkid=870924
Comment:
    Bar plot indicating the percent of overall performance predicted by different types of organizational citizenship behavior.</t>
      </text>
    </comment>
    <comment ref="DF10" authorId="124" shapeId="0" xr:uid="{E35D090E-DD3E-4B1F-836D-293E80B4826F}">
      <text>
        <t xml:space="preserve">[Threaded comment]
Your version of Excel allows you to read this threaded comment; however, any edits to it will get removed if the file is opened in a newer version of Excel. Learn more: https://go.microsoft.com/fwlink/?linkid=870924
Comment:
    Table 1: "Table 1 presents our results for the second order meta-analysis... Table 3 reports the relative importance of task performance, OCB-I, OCB-O, and OCB-CH in predicting overall job performance" </t>
      </text>
    </comment>
    <comment ref="DM10" authorId="125" shapeId="0" xr:uid="{E2917CAE-626A-4489-A45B-56848905F5C6}">
      <text>
        <t xml:space="preserve">[Threaded comment]
Your version of Excel allows you to read this threaded comment; however, any edits to it will get removed if the file is opened in a newer version of Excel. Learn more: https://go.microsoft.com/fwlink/?linkid=870924
Comment:
    but they noted that most samples were from North American employees, which could imply limited geographic diversity </t>
      </text>
    </comment>
    <comment ref="AB11" authorId="126" shapeId="0" xr:uid="{2F449265-6FAF-5C48-BDF9-D5C1208095D5}">
      <text>
        <t>[Threaded comment]
Your version of Excel allows you to read this threaded comment; however, any edits to it will get removed if the file is opened in a newer version of Excel. Learn more: https://go.microsoft.com/fwlink/?linkid=870924
Comment:
    Four of the papers had a total 278, one mentions 213 “programs”, which we coded as incldued studies.</t>
      </text>
    </comment>
    <comment ref="AC11" authorId="127" shapeId="0" xr:uid="{ABB13DB3-35D8-CC41-8B5C-C46904AE2708}">
      <text>
        <t>[Threaded comment]
Your version of Excel allows you to read this threaded comment; however, any edits to it will get removed if the file is opened in a newer version of Excel. Learn more: https://go.microsoft.com/fwlink/?linkid=870924
Comment:
    The number of participants could only be determined for two out of the five meta-analyses (4470 + 270,034)</t>
      </text>
    </comment>
    <comment ref="AE11" authorId="128" shapeId="0" xr:uid="{ACF3DE1E-E9A5-4655-8AA1-943C708F4708}">
      <text>
        <t xml:space="preserve">[Threaded comment]
Your version of Excel allows you to read this threaded comment; however, any edits to it will get removed if the file is opened in a newer version of Excel. Learn more: https://go.microsoft.com/fwlink/?linkid=870924
Comment:
    studies were excluded if they were not written in English </t>
      </text>
    </comment>
    <comment ref="AG11" authorId="129" shapeId="0" xr:uid="{8BC28577-F33A-46C6-846A-E0FBBB4A6CB1}">
      <text>
        <t>[Threaded comment]
Your version of Excel allows you to read this threaded comment; however, any edits to it will get removed if the file is opened in a newer version of Excel. Learn more: https://go.microsoft.com/fwlink/?linkid=870924
Comment:
     “To find meta-analyses published in scientific journals, books, and unpublished reports, the following databases were used “</t>
      </text>
    </comment>
    <comment ref="BF11" authorId="130" shapeId="0" xr:uid="{495C3FC8-9692-4C0E-9D9C-44B9C80976B2}">
      <text>
        <t>[Threaded comment]
Your version of Excel allows you to read this threaded comment; however, any edits to it will get removed if the file is opened in a newer version of Excel. Learn more: https://go.microsoft.com/fwlink/?linkid=870924
Comment:
    “Procedures for coding outcome categories and effect size data were performed by one Bachelor’s level research assistant and one Master’s level research assistant. Both coders received training and weekly supervision from a doctoral candidate and a doctoral-level research expert in meta-analytic techniques to resolve difficulties, questions, or discrepancies that arose throughout the coding process. All studies were double-coded by the Bachelor’s level and Master’s level research assistants, with the overall agreement being 100% for outcome information and effect size data. “</t>
      </text>
    </comment>
    <comment ref="BH11" authorId="131" shapeId="0" xr:uid="{AF1A0914-0F0E-49A3-9002-AB50BBFF1A81}">
      <text>
        <t>[Threaded comment]
Your version of Excel allows you to read this threaded comment; however, any edits to it will get removed if the file is opened in a newer version of Excel. Learn more: https://go.microsoft.com/fwlink/?linkid=870924
Comment:
    ”agreement being 100% for outcome information and effect size data. ”</t>
      </text>
    </comment>
    <comment ref="BJ11" authorId="132" shapeId="0" xr:uid="{065E2FB6-EB88-49F7-98D9-512D07B52AEF}">
      <text>
        <t>[Threaded comment]
Your version of Excel allows you to read this threaded comment; however, any edits to it will get removed if the file is opened in a newer version of Excel. Learn more: https://go.microsoft.com/fwlink/?linkid=870924
Comment:
    They acknowledged the potential overlap but did not quantify it. 
”The effect sizes derived from the five included first-order meta-analyses might not be fully independent, because there may be some overlap in the primary data that were synthesized in these meta-analyses. However, this overlap does not seem to be problematic, as the meta-analyses addressed different issues across different domains of interest and in different populations. Moreover, we applied the three-level statistical approach to our second-order meta-analysis to model statistical dependency arising from the fact that the five meta-analyses reported multiple relevant effect sizes”</t>
      </text>
    </comment>
    <comment ref="BS11" authorId="133" shapeId="0" xr:uid="{A47BC410-47A1-4FE2-8418-8ACCD6D13725}">
      <text>
        <t xml:space="preserve">[Threaded comment]
Your version of Excel allows you to read this threaded comment; however, any edits to it will get removed if the file is opened in a newer version of Excel. Learn more: https://go.microsoft.com/fwlink/?linkid=870924
Comment:
    "This three-level approach was used in estimating the overall effect of supervised practice programs as well as in testing outcome type and effect size type as moderators of the overall effect size" 
"Instead of averaging effect sizes or disregarding effect sizes, we dealt with the problem of effect size dependency by synthesizing the extracted effect sizes in three-level meta-analytic models." </t>
      </text>
    </comment>
    <comment ref="BT11" authorId="134" shapeId="0" xr:uid="{01A45C7D-D492-4042-A8E7-007034D02B9A}">
      <text>
        <t>[Threaded comment]
Your version of Excel allows you to read this threaded comment; however, any edits to it will get removed if the file is opened in a newer version of Excel. Learn more: https://go.microsoft.com/fwlink/?linkid=870924
Comment:
    "In our analyses, we applied a random-effects approach, as we considered the included meta-analyses to be a random sample of the population of meta-analyses”</t>
      </text>
    </comment>
    <comment ref="CL11" authorId="135" shapeId="0" xr:uid="{4BC9F286-CFC5-450A-9CD2-B9E240FC730B}">
      <text>
        <t>[Threaded comment]
Your version of Excel allows you to read this threaded comment; however, any edits to it will get removed if the file is opened in a newer version of Excel. Learn more: https://go.microsoft.com/fwlink/?linkid=870924
Comment:
    “Prior to conducting moderator analyses, we first examined whether there was significant between-study variance and/or significant within-study variance by performing two separate one-tailed log-likelihood ratio tests “</t>
      </text>
    </comment>
    <comment ref="CS11" authorId="136" shapeId="0" xr:uid="{86FC68DC-7BA4-42B3-A973-39574F33F085}">
      <text>
        <t>[Threaded comment]
Your version of Excel allows you to read this threaded comment; however, any edits to it will get removed if the file is opened in a newer version of Excel. Learn more: https://go.microsoft.com/fwlink/?linkid=870924
Comment:
    “We tested type of outcome as a moderator of the overall effect in a meta-regression “</t>
      </text>
    </comment>
    <comment ref="CZ11" authorId="137" shapeId="0" xr:uid="{DEB8DE29-6351-4A78-AA1E-DB5D7981281F}">
      <text>
        <t xml:space="preserve">[Threaded comment]
Your version of Excel allows you to read this threaded comment; however, any edits to it will get removed if the file is opened in a newer version of Excel. Learn more: https://go.microsoft.com/fwlink/?linkid=870924
Comment:
    “We used the R environment (Version 3.2.0; R Core Team, 2015) to build the three-level meta-analytic models using the “rma.mv” function of the metafor package (Viechtbauer, 2010). We used the R syntax as written by Assink and Wibbelink (2016) so that the three-level approach to meta-analysis (Cheung, 2014; Van den Noortgate et al., 2013) was applied in the current synthesis.” </t>
      </text>
    </comment>
    <comment ref="DA11" authorId="138" shapeId="0" xr:uid="{A51E004E-E918-4D91-ACE5-B72AA6758542}">
      <text>
        <t>[Threaded comment]
Your version of Excel allows you to read this threaded comment; however, any edits to it will get removed if the file is opened in a newer version of Excel. Learn more: https://go.microsoft.com/fwlink/?linkid=870924
Comment:
    Figure 1</t>
      </text>
    </comment>
    <comment ref="DE11" authorId="139" shapeId="0" xr:uid="{55981B40-A845-44DE-A9D8-9A973297626C}">
      <text>
        <t>[Threaded comment]
Your version of Excel allows you to read this threaded comment; however, any edits to it will get removed if the file is opened in a newer version of Excel. Learn more: https://go.microsoft.com/fwlink/?linkid=870924
Comment:
    Table 1</t>
      </text>
    </comment>
    <comment ref="DG11" authorId="140" shapeId="0" xr:uid="{6D5CAB46-75A1-48E5-B022-C9F69EC44197}">
      <text>
        <t>[Threaded comment]
Your version of Excel allows you to read this threaded comment; however, any edits to it will get removed if the file is opened in a newer version of Excel. Learn more: https://go.microsoft.com/fwlink/?linkid=870924
Comment:
    Table 2</t>
      </text>
    </comment>
    <comment ref="DM11" authorId="141" shapeId="0" xr:uid="{BCD9EEF6-A1A7-4E8F-B70B-A33476F9C061}">
      <text>
        <t xml:space="preserve">[Threaded comment]
Your version of Excel allows you to read this threaded comment; however, any edits to it will get removed if the file is opened in a newer version of Excel. Learn more: https://go.microsoft.com/fwlink/?linkid=870924
Comment:
    "variability in reporting practices resulted in incomplete demographic information on samples, including the participants’ ages" </t>
      </text>
    </comment>
    <comment ref="AB12" authorId="142" shapeId="0" xr:uid="{2CEDE736-CEAA-49BB-9591-A274169E06EC}">
      <text>
        <t>[Threaded comment]
Your version of Excel allows you to read this threaded comment; however, any edits to it will get removed if the file is opened in a newer version of Excel. Learn more: https://go.microsoft.com/fwlink/?linkid=870924
Comment:
    Table 1: 27 + 11 +14 + 9 + 2 + 7= 70</t>
      </text>
    </comment>
    <comment ref="AC12" authorId="143" shapeId="0" xr:uid="{747069F3-5639-4EF5-9CFA-88009D0F4644}">
      <text>
        <t>[Threaded comment]
Your version of Excel allows you to read this threaded comment; however, any edits to it will get removed if the file is opened in a newer version of Excel. Learn more: https://go.microsoft.com/fwlink/?linkid=870924
Comment:
    1412 individuals with a disorder and 1415 age-matched controls</t>
      </text>
    </comment>
    <comment ref="AD12" authorId="144" shapeId="0" xr:uid="{EC1A0876-B9C0-48E6-B18C-F8DA6B8AFBD8}">
      <text>
        <t xml:space="preserve">[Threaded comment]
Your version of Excel allows you to read this threaded comment; however, any edits to it will get removed if the file is opened in a newer version of Excel. Learn more: https://go.microsoft.com/fwlink/?linkid=870924
Comment:
    "This report used second-order meta-analysis to compare SRTT performance in Parkinson’s disease, SLI, DCD, ASD, schizophrenia, and dyslexia. The data presented summarised the results from six meta-analyses, representing data from 1412 individuals with a disease/disorder and 1415 age-matched controls"​ </t>
      </text>
    </comment>
    <comment ref="AJ12" authorId="145" shapeId="0" xr:uid="{B53AD05C-B206-47C8-9ABE-D9BCFA1DA3AC}">
      <text>
        <t xml:space="preserve">[Threaded comment]
Your version of Excel allows you to read this threaded comment; however, any edits to it will get removed if the file is opened in a newer version of Excel. Learn more: https://go.microsoft.com/fwlink/?linkid=870924
Comment:
    "The authors independently screened articles according to the eligibility criteria described above. There was 100% agreement on these articles"​ </t>
      </text>
    </comment>
    <comment ref="AW12" authorId="146" shapeId="0" xr:uid="{9DD2898D-9E67-4514-942A-BD0275103A4D}">
      <text>
        <t xml:space="preserve">[Threaded comment]
Your version of Excel allows you to read this threaded comment; however, any edits to it will get removed if the file is opened in a newer version of Excel. Learn more: https://go.microsoft.com/fwlink/?linkid=870924
Comment:
    ”To facilitate comparability of the meta-analyses, all effect sizes were converted to Hedges’ g. This ensures that effect sizes can be compared directly, as they are all in the same metric. Converting from Cohen’s d to Hedges’ g involves multiplying d by a correction factor"​ </t>
      </text>
    </comment>
    <comment ref="BJ12" authorId="147" shapeId="0" xr:uid="{4FD1F520-24E0-40D6-8EC9-B67D5E461718}">
      <text>
        <t xml:space="preserve">[Threaded comment]
Your version of Excel allows you to read this threaded comment; however, any edits to it will get removed if the file is opened in a newer version of Excel. Learn more: https://go.microsoft.com/fwlink/?linkid=870924
Comment:
    "To ensure that each study was represented only once, articles that included data that were also reported in a larger meta-analysis were excluded" </t>
      </text>
    </comment>
    <comment ref="BT12" authorId="148" shapeId="0" xr:uid="{81B272D2-D377-4341-B010-1A91900E1C51}">
      <text>
        <t xml:space="preserve">[Threaded comment]
Your version of Excel allows you to read this threaded comment; however, any edits to it will get removed if the file is opened in a newer version of Excel. Learn more: https://go.microsoft.com/fwlink/?linkid=870924
Comment:
    "Following the same approach as Tamim et al. (2011), the analysis used was mixed-effects subgroup analysis"​ </t>
      </text>
    </comment>
    <comment ref="CM12" authorId="149" shapeId="0" xr:uid="{C022335A-A2A5-4FBB-AFDA-9B8911E91BC0}">
      <text>
        <t>[Threaded comment]
Your version of Excel allows you to read this threaded comment; however, any edits to it will get removed if the file is opened in a newer version of Excel. Learn more: https://go.microsoft.com/fwlink/?linkid=870924
Comment:
    “To investigate whether differences between the effect sizes shown in Fig. 3 were due to second-order sampling error or to systematic in fluences, the I2 statistic was calculated. “</t>
      </text>
    </comment>
    <comment ref="CS12" authorId="150" shapeId="0" xr:uid="{61E71C22-7D3C-4A24-800C-6B67D2F8803E}">
      <text>
        <t xml:space="preserve">[Threaded comment]
Your version of Excel allows you to read this threaded comment; however, any edits to it will get removed if the file is opened in a newer version of Excel. Learn more: https://go.microsoft.com/fwlink/?linkid=870924
Comment:
    "To address the exploratory aim of this report, that is to determine whether disorder type moderated effect sizes, mixed-effects subgroup analysis was undertaken"​ </t>
      </text>
    </comment>
    <comment ref="CW12" authorId="151" shapeId="0" xr:uid="{C5789B37-6A91-400F-9250-229E5F5AEA15}">
      <text>
        <t xml:space="preserve">[Threaded comment]
Your version of Excel allows you to read this threaded comment; however, any edits to it will get removed if the file is opened in a newer version of Excel. Learn more: https://go.microsoft.com/fwlink/?linkid=870924
Comment:
    "To investigate this further, the I² statistic was recalculated after removing ASD. The ensuing value was found to be less than 1, and non-significant" </t>
      </text>
    </comment>
    <comment ref="DA12" authorId="152" shapeId="0" xr:uid="{D4A407AF-75A4-449D-9AB8-1483052A0829}">
      <text>
        <t>[Threaded comment]
Your version of Excel allows you to read this threaded comment; however, any edits to it will get removed if the file is opened in a newer version of Excel. Learn more: https://go.microsoft.com/fwlink/?linkid=870924
Comment:
    Figure 1</t>
      </text>
    </comment>
    <comment ref="DC12" authorId="153" shapeId="0" xr:uid="{637C2D87-666C-4C36-B040-A43FE0AC7147}">
      <text>
        <t>[Threaded comment]
Your version of Excel allows you to read this threaded comment; however, any edits to it will get removed if the file is opened in a newer version of Excel. Learn more: https://go.microsoft.com/fwlink/?linkid=870924
Comment:
    Figure 3</t>
      </text>
    </comment>
    <comment ref="DD12" authorId="154" shapeId="0" xr:uid="{1380E8C5-2C4D-4CF9-938E-CDC12B57C48F}">
      <text>
        <t>[Threaded comment]
Your version of Excel allows you to read this threaded comment; however, any edits to it will get removed if the file is opened in a newer version of Excel. Learn more: https://go.microsoft.com/fwlink/?linkid=870924
Comment:
    Figure 1</t>
      </text>
    </comment>
    <comment ref="DE12" authorId="155" shapeId="0" xr:uid="{8C89799F-DE01-4400-B58E-724D5AE53E35}">
      <text>
        <t>[Threaded comment]
Your version of Excel allows you to read this threaded comment; however, any edits to it will get removed if the file is opened in a newer version of Excel. Learn more: https://go.microsoft.com/fwlink/?linkid=870924
Comment:
    Table 1</t>
      </text>
    </comment>
    <comment ref="DG12" authorId="156" shapeId="0" xr:uid="{D7B6569C-23E3-47F4-B68A-D28F6452E932}">
      <text>
        <t>[Threaded comment]
Your version of Excel allows you to read this threaded comment; however, any edits to it will get removed if the file is opened in a newer version of Excel. Learn more: https://go.microsoft.com/fwlink/?linkid=870924
Comment:
    Table 2</t>
      </text>
    </comment>
    <comment ref="AW13" authorId="157" shapeId="0" xr:uid="{DFDF1346-E185-4EF8-ABF9-A3A7240CAD04}">
      <text>
        <t xml:space="preserve">[Threaded comment]
Your version of Excel allows you to read this threaded comment; however, any edits to it will get removed if the file is opened in a newer version of Excel. Learn more: https://go.microsoft.com/fwlink/?linkid=870924
Comment:
    (Table 3, page 7): "Effect size types included r, Hedges’ g, Cohen’s d, β, OR, pooled prevalence, and proportion differences." </t>
      </text>
    </comment>
    <comment ref="BI13" authorId="158" shapeId="0" xr:uid="{57546E69-D8F9-A64A-B373-03D8FB12A5C5}">
      <text>
        <t>[Threaded comment]
Your version of Excel allows you to read this threaded comment; however, any edits to it will get removed if the file is opened in a newer version of Excel. Learn more: https://go.microsoft.com/fwlink/?linkid=870924
Comment:
    we calculated this by 39 out of studies 286</t>
      </text>
    </comment>
    <comment ref="BM13" authorId="159" shapeId="0" xr:uid="{B353E7F6-527B-4A19-91A1-6C370555414A}">
      <text>
        <t xml:space="preserve">[Threaded comment]
Your version of Excel allows you to read this threaded comment; however, any edits to it will get removed if the file is opened in a newer version of Excel. Learn more: https://go.microsoft.com/fwlink/?linkid=870924
Comment:
    The rule regarding exclusions pertained to studies lacking sufficient data:
"Primary studies were omitted from particular tests because they did not report the gender composition of their sample" </t>
      </text>
    </comment>
    <comment ref="CM13" authorId="160" shapeId="0" xr:uid="{8D3B7C82-47A5-48AD-8AAB-7CDCFC75B346}">
      <text>
        <t>[Threaded comment]
Your version of Excel allows you to read this threaded comment; however, any edits to it will get removed if the file is opened in a newer version of Excel. Learn more: https://go.microsoft.com/fwlink/?linkid=870924
Comment:
    "The mean sample size-weighted between-study variance in gender proportion was 0.048 (Mdn = 0.025; range = 0.0004–0.23)."​ 
"Sample size-weighted between-study variance: …”</t>
      </text>
    </comment>
    <comment ref="DD13" authorId="161" shapeId="0" xr:uid="{1DAE808E-2EEA-4D31-9DB0-B89BE758EDBE}">
      <text>
        <t>[Threaded comment]
Your version of Excel allows you to read this threaded comment; however, any edits to it will get removed if the file is opened in a newer version of Excel. Learn more: https://go.microsoft.com/fwlink/?linkid=870924
Comment:
    Figure 2 shows a histogram of between-study variances in gender proportion. Figure 1 shows the identification and screening process of meta-analyses.</t>
      </text>
    </comment>
    <comment ref="DE13" authorId="162" shapeId="0" xr:uid="{B12FD731-7C08-43FA-A1BC-29ABDB16F1A0}">
      <text>
        <t>[Threaded comment]
Your version of Excel allows you to read this threaded comment; however, any edits to it will get removed if the file is opened in a newer version of Excel. Learn more: https://go.microsoft.com/fwlink/?linkid=870924
Comment:
    Table 2 and Table A</t>
      </text>
    </comment>
    <comment ref="DG13" authorId="163" shapeId="0" xr:uid="{9EE2922E-5477-6549-AA2B-14E207D78D76}">
      <text>
        <t>[Threaded comment]
Your version of Excel allows you to read this threaded comment; however, any edits to it will get removed if the file is opened in a newer version of Excel. Learn more: https://go.microsoft.com/fwlink/?linkid=870924
Comment:
    Table 3</t>
      </text>
    </comment>
    <comment ref="DM13" authorId="164" shapeId="0" xr:uid="{6FFB4151-7532-4D5A-84D3-1D17D15187D3}">
      <text>
        <t xml:space="preserve">[Threaded comment]
Your version of Excel allows you to read this threaded comment; however, any edits to it will get removed if the file is opened in a newer version of Excel. Learn more: https://go.microsoft.com/fwlink/?linkid=870924
Comment:
    The authors acknowledged the lack of diversity in gender composition across primary studies as a major limitation.
“Most primary studies have samples that include both men and women… approximate male–female parity is the norm. This parity… makes detection difficult for the meta-analyst.”​
</t>
      </text>
    </comment>
    <comment ref="BM15" authorId="165" shapeId="0" xr:uid="{0F213289-4ABF-45ED-9F09-B2CC5BD7B3EF}">
      <text>
        <t xml:space="preserve">[Threaded comment]
Your version of Excel allows you to read this threaded comment; however, any edits to it will get removed if the file is opened in a newer version of Excel. Learn more: https://go.microsoft.com/fwlink/?linkid=870924
Comment:
    "Meta-analysis research that have more than a 25% overlapping ratio are presented in Table 2. On the other hand, meta-analysis research that are preferred and excluded are presented in the same table" </t>
      </text>
    </comment>
    <comment ref="BR15" authorId="166" shapeId="0" xr:uid="{B966E1EB-D673-49A1-87E7-CBE358BEC3F8}">
      <text>
        <t xml:space="preserve">[Threaded comment]
Your version of Excel allows you to read this threaded comment; however, any edits to it will get removed if the file is opened in a newer version of Excel. Learn more: https://go.microsoft.com/fwlink/?linkid=870924
Comment:
    Quality level: Meta-analysis research is coded according to the scores obtained from the quality scale </t>
      </text>
    </comment>
    <comment ref="CS15" authorId="167" shapeId="0" xr:uid="{1E8861D1-5230-43D3-AA4D-95D27E610D4E}">
      <text>
        <t xml:space="preserve">[Threaded comment]
Your version of Excel allows you to read this threaded comment; however, any edits to it will get removed if the file is opened in a newer version of Excel. Learn more: https://go.microsoft.com/fwlink/?linkid=870924
Comment:
    The authors calculated and interpreted the mean effect size for each subgroup based on different moderator variables such as outcomes (e.g., academic success, attitude, thinking skills), constructivist learning models (e.g., problem-based learning, inquiry-based learning), location, quality level, and report type. They also used Q between tests to examine whether the mean effect sizes significantly varied across moderator variables. </t>
      </text>
    </comment>
    <comment ref="DA15" authorId="168" shapeId="0" xr:uid="{34424305-91DB-43B8-A422-E95BE8F83778}">
      <text>
        <t>[Threaded comment]
Your version of Excel allows you to read this threaded comment; however, any edits to it will get removed if the file is opened in a newer version of Excel. Learn more: https://go.microsoft.com/fwlink/?linkid=870924
Comment:
    Figure 1</t>
      </text>
    </comment>
    <comment ref="DB15" authorId="169" shapeId="0" xr:uid="{5461588E-A70E-4127-83B8-71A7E5FC912B}">
      <text>
        <t>[Threaded comment]
Your version of Excel allows you to read this threaded comment; however, any edits to it will get removed if the file is opened in a newer version of Excel. Learn more: https://go.microsoft.com/fwlink/?linkid=870924
Comment:
    Figure 2</t>
      </text>
    </comment>
    <comment ref="DG15" authorId="170" shapeId="0" xr:uid="{991CA6DF-F4DE-4380-91C5-8B4BADCFD6AC}">
      <text>
        <t>[Threaded comment]
Your version of Excel allows you to read this threaded comment; however, any edits to it will get removed if the file is opened in a newer version of Excel. Learn more: https://go.microsoft.com/fwlink/?linkid=870924
Comment:
    Table 4</t>
      </text>
    </comment>
    <comment ref="DM15" authorId="171" shapeId="0" xr:uid="{B35FF8AA-4DAA-4B5D-A4C5-C8A55BFF2B3E}">
      <text>
        <t>[Threaded comment]
Your version of Excel allows you to read this threaded comment; however, any edits to it will get removed if the file is opened in a newer version of Excel. Learn more: https://go.microsoft.com/fwlink/?linkid=870924
Comment:
    “Location bias is a problem in meta-analysis research... Meta-analysis research involving China produced medium-level impact size, while meta-analysis research involving Turkey and Indonesia produced high-level impact size”</t>
      </text>
    </comment>
    <comment ref="G16" authorId="172" shapeId="0" xr:uid="{3E769B15-6AB3-492D-9104-BCB8D8344B7F}">
      <text>
        <t>[Threaded comment]
Your version of Excel allows you to read this threaded comment; however, any edits to it will get removed if the file is opened in a newer version of Excel. Learn more: https://go.microsoft.com/fwlink/?linkid=870924
Comment:
    The article is under psychology?</t>
      </text>
    </comment>
    <comment ref="AG16" authorId="173" shapeId="0" xr:uid="{C20C34DA-8205-4481-AF8A-0B231667A008}">
      <text>
        <t>[Threaded comment]
Your version of Excel allows you to read this threaded comment; however, any edits to it will get removed if the file is opened in a newer version of Excel. Learn more: https://go.microsoft.com/fwlink/?linkid=870924
Comment:
    “We additionally searched MedRxiv.org for potentially relevant preprints, and hand searched the cited references of the retrieved articles”</t>
      </text>
    </comment>
    <comment ref="AH16" authorId="174" shapeId="0" xr:uid="{1617ED75-E0BC-F54B-A67A-B746382F4679}">
      <text>
        <t>[Threaded comment]
Your version of Excel allows you to read this threaded comment; however, any edits to it will get removed if the file is opened in a newer version of Excel. Learn more: https://go.microsoft.com/fwlink/?linkid=870924
Comment:
    In Online Suplemental Material Box 1</t>
      </text>
    </comment>
    <comment ref="AJ16" authorId="175" shapeId="0" xr:uid="{8EAA2DFC-FF15-41CF-9699-4054277D01D8}">
      <text>
        <t xml:space="preserve">[Threaded comment]
Your version of Excel allows you to read this threaded comment; however, any edits to it will get removed if the file is opened in a newer version of Excel. Learn more: https://go.microsoft.com/fwlink/?linkid=870924
Comment:
    "Two authors (ED and DT) independently searched the titles and abstracts for eligibility. Next, the full texts of potentially relevant articles were carefully read and assessed against the inclusion and exclusion criteria by the same pair of authors. Any disagreement between the two authors was resolved by a consensus with a third author (MG)." </t>
      </text>
    </comment>
    <comment ref="AO16" authorId="176" shapeId="0" xr:uid="{1DB9AACD-17F7-4EE9-8741-594E41E00C2C}">
      <text>
        <t>[Threaded comment]
Your version of Excel allows you to read this threaded comment; however, any edits to it will get removed if the file is opened in a newer version of Excel. Learn more: https://go.microsoft.com/fwlink/?linkid=870924
Comment:
    “We included systematic reviews with meta-analysis of observational studies (i.e., cross-sectional, case–control, cohort, etc.) that examined the prevalence of mental health symptom among hospital staff during the COVID-19 pandemic.”</t>
      </text>
    </comment>
    <comment ref="AW16" authorId="177" shapeId="0" xr:uid="{68E005E2-9CD4-6343-8812-5C7862F80375}">
      <text>
        <t>[Threaded comment]
Your version of Excel allows you to read this threaded comment; however, any edits to it will get removed if the file is opened in a newer version of Excel. Learn more: https://go.microsoft.com/fwlink/?linkid=870924
Comment:
    ”Prevalence estimates refer to the proportion of a population that exhibits a particular characteristic, condition, or outcome at a specific point in time or over a defined period.”</t>
      </text>
    </comment>
    <comment ref="BF16" authorId="178" shapeId="0" xr:uid="{FF79747E-AFAB-4F61-8160-7447CCEDC6F2}">
      <text>
        <t>[Threaded comment]
Your version of Excel allows you to read this threaded comment; however, any edits to it will get removed if the file is opened in a newer version of Excel. Learn more: https://go.microsoft.com/fwlink/?linkid=870924
Comment:
    ”Independent couples of two authors (ED, DT, MM, MG) independently performed data extraction and the methodological assessment. Any disagreement throughout the processes was solved by discussion in the research team. ”</t>
      </text>
    </comment>
    <comment ref="BQ16" authorId="179" shapeId="0" xr:uid="{268F4344-46AA-4BF3-92F1-708360C6C6F6}">
      <text>
        <t>[Threaded comment]
Your version of Excel allows you to read this threaded comment; however, any edits to it will get removed if the file is opened in a newer version of Excel. Learn more: https://go.microsoft.com/fwlink/?linkid=870924
Comment:
    ”... overall quality of the evidence on the prevalence estimates per mental health symptom as high, moderate, low or very low quality evidence based on study limitations (overall quality of the evidence identified based on AMSTAR 2), …”</t>
      </text>
    </comment>
    <comment ref="CW16" authorId="180" shapeId="0" xr:uid="{4C78F72E-EA04-41D4-A89A-36315F7332A3}">
      <text>
        <t xml:space="preserve">[Threaded comment]
Your version of Excel allows you to read this threaded comment; however, any edits to it will get removed if the file is opened in a newer version of Excel. Learn more: https://go.microsoft.com/fwlink/?linkid=870924
Comment:
"We performed a leave-one-out sensitivity analysis to determine the influence of each meta-analysis on the overall effect and to identify influential studies."
</t>
      </text>
    </comment>
    <comment ref="DA16" authorId="181" shapeId="0" xr:uid="{C5963E44-767A-4278-9833-B361643F0CAD}">
      <text>
        <t>[Threaded comment]
Your version of Excel allows you to read this threaded comment; however, any edits to it will get removed if the file is opened in a newer version of Excel. Learn more: https://go.microsoft.com/fwlink/?linkid=870924
Comment:
    Figure 1</t>
      </text>
    </comment>
    <comment ref="DC16" authorId="182" shapeId="0" xr:uid="{0BEFF96D-980A-4E90-8527-40533E1ACEED}">
      <text>
        <t>[Threaded comment]
Your version of Excel allows you to read this threaded comment; however, any edits to it will get removed if the file is opened in a newer version of Excel. Learn more: https://go.microsoft.com/fwlink/?linkid=870924
Comment:
    Figure 2</t>
      </text>
    </comment>
    <comment ref="DF16" authorId="183" shapeId="0" xr:uid="{3991066C-E009-407F-ADF6-2C4BE560A857}">
      <text>
        <t>[Threaded comment]
Your version of Excel allows you to read this threaded comment; however, any edits to it will get removed if the file is opened in a newer version of Excel. Learn more: https://go.microsoft.com/fwlink/?linkid=870924
Comment:
    Table 1</t>
      </text>
    </comment>
    <comment ref="DG16" authorId="184" shapeId="0" xr:uid="{10D7DB55-9E55-4EF5-ACB1-F9109F003FE2}">
      <text>
        <t>[Threaded comment]
Your version of Excel allows you to read this threaded comment; however, any edits to it will get removed if the file is opened in a newer version of Excel. Learn more: https://go.microsoft.com/fwlink/?linkid=870924
Comment:
    Table 2</t>
      </text>
    </comment>
    <comment ref="DH16" authorId="185" shapeId="0" xr:uid="{6C85ACB8-3D34-C64E-A8D7-42724E5C8D94}">
      <text>
        <t>[Threaded comment]
Your version of Excel allows you to read this threaded comment; however, any edits to it will get removed if the file is opened in a newer version of Excel. Learn more: https://go.microsoft.com/fwlink/?linkid=870924
Comment:
    "The results of meta-analyses' quality assessment are presented in Supplemental Material Table 3."</t>
      </text>
    </comment>
    <comment ref="DM16" authorId="186" shapeId="0" xr:uid="{CEBC94D4-CF78-43FF-AFBF-EC9A323E1C15}">
      <text>
        <t xml:space="preserve">[Threaded comment]
Your version of Excel allows you to read this threaded comment; however, any edits to it will get removed if the file is opened in a newer version of Excel. Learn more: https://go.microsoft.com/fwlink/?linkid=870924
Comment:
    "Most of the included studies were conducted in a specific context, China, limiting the diversity of the sample." </t>
      </text>
    </comment>
    <comment ref="DN16" authorId="187" shapeId="0" xr:uid="{EA90E4F1-A38D-1E45-8766-00247398A46D}">
      <text>
        <t>[Threaded comment]
Your version of Excel allows you to read this threaded comment; however, any edits to it will get removed if the file is opened in a newer version of Excel. Learn more: https://go.microsoft.com/fwlink/?linkid=870924
Comment:
    “Intriguingly, our umbrella review found substantial discrepancies in conducting, reporting, risk of bias assessment, and data synthesis in this body of research. Although most meta-analyses followed the PRISMA guidelines, there is an ongoing discussion if this guideline is appropriate for reporting prevalence meta-analysis (Borges Migliavaca et al., 2020). Another major controversial area is the risk of bias assessment of the included studies and the diverse checklists and tools used to assess their bias. However, it was encouraging that only a very low number of publications did not appraise the included studies quality. Another important finding is that solid meta-analytical synthesizing methods are lacking, and the large heterogeneity cannot be accurately explained. The different measurement scales used to collect mental health outcomes may account for the significant heterogeneity observed (Alba et al., 2016).”</t>
      </text>
    </comment>
    <comment ref="DP16" authorId="188" shapeId="0" xr:uid="{89267CFC-70E4-4983-BF09-17631E609F75}">
      <text>
        <t>[Threaded comment]
Your version of Excel allows you to read this threaded comment; however, any edits to it will get removed if the file is opened in a newer version of Excel. Learn more: https://go.microsoft.com/fwlink/?linkid=870924
Comment:
    "This umbrella review followed the Preferred Reporting Items for Systematic Reviews and Meta-analyses (PRISMA 2020) reporting guideline... and an a priori protocol, available on request." However, it was not formally preregistered in a repository like PROSPERO“</t>
      </text>
    </comment>
    <comment ref="K17" authorId="189" shapeId="0" xr:uid="{3D36BA42-61AC-0947-B2AF-7E49929934F6}">
      <text>
        <t>[Threaded comment]
Your version of Excel allows you to read this threaded comment; however, any edits to it will get removed if the file is opened in a newer version of Excel. Learn more: https://go.microsoft.com/fwlink/?linkid=870924
Comment:
    Taken from Google scholar (as of 5 October 2024)https://scholar.google.com/scholar?hl=no&amp;as_sdt=0%2C5&amp;q=Alcohol%2C+drugs%2C+and+violence%3A+A+meta-meta-analysis&amp;btnG=</t>
      </text>
    </comment>
    <comment ref="AG17" authorId="190" shapeId="0" xr:uid="{A1AABCD0-3F53-4EF7-B917-14597E2A4B41}">
      <text>
        <t xml:space="preserve">[Threaded comment]
Your version of Excel allows you to read this threaded comment; however, any edits to it will get removed if the file is opened in a newer version of Excel. Learn more: https://go.microsoft.com/fwlink/?linkid=870924
Comment:
    "We reviewed the gray literature to counteract the publication bias" </t>
      </text>
    </comment>
    <comment ref="AO17" authorId="191" shapeId="0" xr:uid="{888443E9-1712-49D9-A8A5-0C9ABDDFBADE}">
      <text>
        <t xml:space="preserve">[Threaded comment]
Your version of Excel allows you to read this threaded comment; however, any edits to it will get removed if the file is opened in a newer version of Excel. Learn more: https://go.microsoft.com/fwlink/?linkid=870924
Comment:
    "Study design (experimental, case-control, cross-sectional, and longitudinal)." </t>
      </text>
    </comment>
    <comment ref="AW17" authorId="192" shapeId="0" xr:uid="{FB49D741-354C-4300-AA14-8AFDB7CFBBC6}">
      <text>
        <t xml:space="preserve">[Threaded comment]
Your version of Excel allows you to read this threaded comment; however, any edits to it will get removed if the file is opened in a newer version of Excel. Learn more: https://go.microsoft.com/fwlink/?linkid=870924
Comment:
    "We used mean standardized differences as our primary outcome statistic... All effect sizes were transformed into bias-corrected mean standardized differences (i.e., Hedges’ g)." </t>
      </text>
    </comment>
    <comment ref="BF17" authorId="193" shapeId="0" xr:uid="{91292A74-A292-4ACF-BA78-4D3ECC6D2437}">
      <text>
        <t xml:space="preserve">[Threaded comment]
Your version of Excel allows you to read this threaded comment; however, any edits to it will get removed if the file is opened in a newer version of Excel. Learn more: https://go.microsoft.com/fwlink/?linkid=870924
Comment:
    "All meta-analyses were initially coded by the second or third authors (K.S. and L.O.) and were recoded by the first author (A.D.)." </t>
      </text>
    </comment>
    <comment ref="BJ17" authorId="194" shapeId="0" xr:uid="{5A8FE2D4-CE01-4C28-AB60-E8A3F56C0C68}">
      <text>
        <t xml:space="preserve">[Threaded comment]
Your version of Excel allows you to read this threaded comment; however, any edits to it will get removed if the file is opened in a newer version of Excel. Learn more: https://go.microsoft.com/fwlink/?linkid=870924
Comment:
    They acknowledged the potential overlap but did not quantify it. 
"Another issue to raise is that meta-analytic studies included in the current investigation may include overlap in the individual studies reviewed." 
"While some prior meta-meta-analysis have attempted to correct for this overlap, it is unclear how this may have changed potential findings." </t>
      </text>
    </comment>
    <comment ref="BT17" authorId="195" shapeId="0" xr:uid="{99C36799-D063-4E16-BBCE-E548DD09A3E4}">
      <text>
        <t xml:space="preserve">[Threaded comment]
Your version of Excel allows you to read this threaded comment; however, any edits to it will get removed if the file is opened in a newer version of Excel. Learn more: https://go.microsoft.com/fwlink/?linkid=870924
Comment:
    "Mean weighted effect sizes are presented for random-effects models along with estimates of heterogeneity (Q and I² statistics). Moderator analyses were conducted using a mixed-effects model when there was significant heterogeneity in the overall estimate." </t>
      </text>
    </comment>
    <comment ref="CC17" authorId="196" shapeId="0" xr:uid="{F5F9F9C9-6689-4F55-9C58-562392484A70}">
      <text>
        <t xml:space="preserve">[Threaded comment]
Your version of Excel allows you to read this threaded comment; however, any edits to it will get removed if the file is opened in a newer version of Excel. Learn more: https://go.microsoft.com/fwlink/?linkid=870924
Comment:
    "Most meta-analyses contributed multiple aggregate effect sizes (median = 3)." </t>
      </text>
    </comment>
    <comment ref="CD17" authorId="197" shapeId="0" xr:uid="{3D7ADC5E-36E0-4A43-971B-DE77D7789D61}">
      <text>
        <t xml:space="preserve">[Threaded comment]
Your version of Excel allows you to read this threaded comment; however, any edits to it will get removed if the file is opened in a newer version of Excel. Learn more: https://go.microsoft.com/fwlink/?linkid=870924
Comment:
    "Most meta-analyses contributed multiple aggregate effect sizes (median = 3). Two multivariate meta-regression analyses were conducted to look at the potential influence of meta-analysis-level moderators and sample/design-level moderators." </t>
      </text>
    </comment>
    <comment ref="CR17" authorId="198" shapeId="0" xr:uid="{D18D078F-1847-4B90-828E-71D7DACFB68B}">
      <text>
        <t xml:space="preserve">[Threaded comment]
Your version of Excel allows you to read this threaded comment; however, any edits to it will get removed if the file is opened in a newer version of Excel. Learn more: https://go.microsoft.com/fwlink/?linkid=870924
Comment:
    "Two multivariate meta-regression analyses were conducted to look at the potential influence of meta-analysis-level moderators and sample/design-level moderators." </t>
      </text>
    </comment>
    <comment ref="CW17" authorId="199" shapeId="0" xr:uid="{5BBC815C-D64B-4CFF-AB4E-1CC70FA1232F}">
      <text>
        <t>[Threaded comment]
Your version of Excel allows you to read this threaded comment; however, any edits to it will get removed if the file is opened in a newer version of Excel. Learn more: https://go.microsoft.com/fwlink/?linkid=870924
Comment:
    “The relationship of substance use and violence will remain significant after accounting for characteristics specific to the meta-analyses examined for this study (i.e., number of studies included, year published, random vs. fixed effects, weighting, inclusion of unpublished studies, removal of outliers, use of multiple coders, and whether substance use and violence was the primary focus).”</t>
      </text>
    </comment>
    <comment ref="DA17" authorId="200" shapeId="0" xr:uid="{14EABB0F-55D5-4A14-9104-99B811879FA4}">
      <text>
        <t>[Threaded comment]
Your version of Excel allows you to read this threaded comment; however, any edits to it will get removed if the file is opened in a newer version of Excel. Learn more: https://go.microsoft.com/fwlink/?linkid=870924
Comment:
    Figure 2</t>
      </text>
    </comment>
    <comment ref="DC17" authorId="201" shapeId="0" xr:uid="{FFA71325-923C-42F1-82C8-FE837B9CB3A4}">
      <text>
        <t xml:space="preserve">[Threaded comment]
Your version of Excel allows you to read this threaded comment; however, any edits to it will get removed if the file is opened in a newer version of Excel. Learn more: https://go.microsoft.com/fwlink/?linkid=870924
Comment:
    Figures 3, 4, and 5 </t>
      </text>
    </comment>
    <comment ref="DD17" authorId="202" shapeId="0" xr:uid="{EDB18D9A-0016-46A1-951F-65BBB0414F4A}">
      <text>
        <t xml:space="preserve">[Threaded comment]
Your version of Excel allows you to read this threaded comment; however, any edits to it will get removed if the file is opened in a newer version of Excel. Learn more: https://go.microsoft.com/fwlink/?linkid=870924
Comment:
    Figure 1: A graph showing the number of articles published on substance use and violence per year </t>
      </text>
    </comment>
    <comment ref="DE17" authorId="203" shapeId="0" xr:uid="{CE1FAE67-745B-435B-A829-FEADC146A847}">
      <text>
        <t>[Threaded comment]
Your version of Excel allows you to read this threaded comment; however, any edits to it will get removed if the file is opened in a newer version of Excel. Learn more: https://go.microsoft.com/fwlink/?linkid=870924
Comment:
    Table 1 and 2</t>
      </text>
    </comment>
    <comment ref="DF17" authorId="204" shapeId="0" xr:uid="{59B4A158-93B4-475E-83D4-996DE8903552}">
      <text>
        <t>[Threaded comment]
Your version of Excel allows you to read this threaded comment; however, any edits to it will get removed if the file is opened in a newer version of Excel. Learn more: https://go.microsoft.com/fwlink/?linkid=870924
Comment:
    Table 3</t>
      </text>
    </comment>
    <comment ref="DG17" authorId="205" shapeId="0" xr:uid="{8C36EDFC-48B0-43BE-A973-733BE8DA12A1}">
      <text>
        <t>[Threaded comment]
Your version of Excel allows you to read this threaded comment; however, any edits to it will get removed if the file is opened in a newer version of Excel. Learn more: https://go.microsoft.com/fwlink/?linkid=870924
Comment:
    Table 3</t>
      </text>
    </comment>
    <comment ref="DJ17" authorId="206" shapeId="0" xr:uid="{57449E95-9216-4CDD-9B2A-02867D5BBFC2}">
      <text>
        <t>[Threaded comment]
Your version of Excel allows you to read this threaded comment; however, any edits to it will get removed if the file is opened in a newer version of Excel. Learn more: https://go.microsoft.com/fwlink/?linkid=870924
Comment:
    “A well-known limitation of existent literature is that most nonsignificant findings are not published. We reviewed the gray literature to counteract the publication bias, however, this bias is inherent to the meta-analytic approach.”</t>
      </text>
    </comment>
    <comment ref="DL17" authorId="207" shapeId="0" xr:uid="{2B328E13-0461-4B79-B070-711BB9CC4120}">
      <text>
        <t xml:space="preserve">[Threaded comment]
Your version of Excel allows you to read this threaded comment; however, any edits to it will get removed if the file is opened in a newer version of Excel. Learn more: https://go.microsoft.com/fwlink/?linkid=870924
Comment:
    "This wide-lens approach also provides key information needed for policy decisions." 
"Meta-meta-analytic approaches provide a parsimonious strategy for reviewing a large amount of research; however, they are in turn less focused on narrow aspects of a relationship." </t>
      </text>
    </comment>
    <comment ref="BI18" authorId="208" shapeId="0" xr:uid="{BD96B1C3-B51B-4024-A126-E64EE57D159D}">
      <text>
        <t xml:space="preserve">[Threaded comment]
Your version of Excel allows you to read this threaded comment; however, any edits to it will get removed if the file is opened in a newer version of Excel. Learn more: https://go.microsoft.com/fwlink/?linkid=870924
Comment:
    The original values indicate that 100% was used for assigning effect sizes to subject areas, while 25% was applied to all other variables. To provide a more balanced estimate, we have averaged these values, resulting in an overall rate of 62.5%. </t>
      </text>
    </comment>
    <comment ref="DG18" authorId="209" shapeId="0" xr:uid="{3C3F096D-A17C-47B3-854A-CEBC1F935E18}">
      <text>
        <t>[Threaded comment]
Your version of Excel allows you to read this threaded comment; however, any edits to it will get removed if the file is opened in a newer version of Excel. Learn more: https://go.microsoft.com/fwlink/?linkid=870924
Comment:
    Table 4 correlogram and Table 7 regression</t>
      </text>
    </comment>
    <comment ref="AH19" authorId="210" shapeId="0" xr:uid="{2A83CF70-9732-6946-A64C-EB581BB5FC61}">
      <text>
        <t>[Threaded comment]
Your version of Excel allows you to read this threaded comment; however, any edits to it will get removed if the file is opened in a newer version of Excel. Learn more: https://go.microsoft.com/fwlink/?linkid=870924
Comment:
    They seem to fail to report their search terms.</t>
      </text>
    </comment>
    <comment ref="AM19" authorId="211" shapeId="0" xr:uid="{00678478-8278-544D-866A-D1932E02F341}">
      <text>
        <t xml:space="preserve">[Threaded comment]
Your version of Excel allows you to read this threaded comment; however, any edits to it will get removed if the file is opened in a newer version of Excel. Learn more: https://go.microsoft.com/fwlink/?linkid=870924
Comment:
    . In addition, we were open to including meta-analyses that did not appear in traditional publication outlets as long as they addressed topics that qualified as advertising topics. They qualified as such if the majority of articles that were included in the meta-analyses came from advertising, communication, or marketing journals. If the meta-analysis included less than 50% of the articles from these journals, three expert coders made a final decision regarding whether the topic of the metaanalysis qualified as an advertising topic (e.g., Lau, Sigelman, and Rovner 2007). If less than 10% of the articles were from these journals, the meta-analysis was not included (e.g., de Hoog, Stroebe, and de Wit 2007). </t>
      </text>
    </comment>
    <comment ref="AO19" authorId="212" shapeId="0" xr:uid="{AAE8FA18-D2E6-404A-972E-E1F98EB0512E}">
      <text>
        <t xml:space="preserve">[Threaded comment]
Your version of Excel allows you to read this threaded comment; however, any edits to it will get removed if the file is opened in a newer version of Excel. Learn more: https://go.microsoft.com/fwlink/?linkid=870924
Comment:
    under the behavioral paradigm, which often include empirical studies. The types of empirical studies typically involve experimental (e.g., RCTs), cross-sectional, and longitudinal designs. </t>
      </text>
    </comment>
    <comment ref="BT19" authorId="213" shapeId="0" xr:uid="{1FB7D418-0175-6E48-908D-5684C7198E6C}">
      <text>
        <t xml:space="preserve">[Threaded comment]
Your version of Excel allows you to read this threaded comment; however, any edits to it will get removed if the file is opened in a newer version of Excel. Learn more: https://go.microsoft.com/fwlink/?linkid=870924
Comment:
    “The approach is a generalization of first-order random effects (RE) meta-analysis methods to the analysis of mean effect size estimates across multiple meta-analyses” </t>
      </text>
    </comment>
    <comment ref="CB19" authorId="214" shapeId="0" xr:uid="{EE86C66A-5269-FF4F-8F3E-D6DBF8420E4A}">
      <text>
        <t xml:space="preserve">[Threaded comment]
Your version of Excel allows you to read this threaded comment; however, any edits to it will get removed if the file is opened in a newer version of Excel. Learn more: https://go.microsoft.com/fwlink/?linkid=870924
Comment:
    “Some meta-analyses provided only attenuated effect sizes (i.e., effect sizes that have not been corrected for measurement error). In line with the expectations of attenuation-correction, … we divided attenuated effect sizes by .87, making them about 15% larger than what the underlying meta-analysis actually reports” </t>
      </text>
    </comment>
    <comment ref="CF19" authorId="215" shapeId="0" xr:uid="{606E2DE9-F287-D046-AB8B-62F873EEFF08}">
      <text>
        <t xml:space="preserve">[Threaded comment]
Your version of Excel allows you to read this threaded comment; however, any edits to it will get removed if the file is opened in a newer version of Excel. Learn more: https://go.microsoft.com/fwlink/?linkid=870924
Comment:
    “To check whether the findings suffer from publication or selection bias (Eisend and Tarrahi 2014), we tested whether the effects in published and unpublished meta-analyses were the same, which was supported by the nonsignificant difference test (t = .21, p = .83)”​ </t>
      </text>
    </comment>
    <comment ref="CM19" authorId="216" shapeId="0" xr:uid="{0C136A48-D75A-5249-A781-17534E7F8AE0}">
      <text>
        <t xml:space="preserve">[Threaded comment]
Your version of Excel allows you to read this threaded comment; however, any edits to it will get removed if the file is opened in a newer version of Excel. Learn more: https://go.microsoft.com/fwlink/?linkid=870924
Comment:
    “We further computed the proportion of second-order sampling error to the total variance for all main relationships … the second-order sampling error variance explains less than 75% of the total variance and varies between 1% and a maximum of 36%”​ </t>
      </text>
    </comment>
    <comment ref="CS19" authorId="217" shapeId="0" xr:uid="{020F9628-BD45-D748-843C-5C5D588CF775}">
      <text>
        <t xml:space="preserve">[Threaded comment]
Your version of Excel allows you to read this threaded comment; however, any edits to it will get removed if the file is opened in a newer version of Excel. Learn more: https://go.microsoft.com/fwlink/?linkid=870924
Comment:
    “The meta-analytic effect sizes can be split into further subgroups, namely into combinations of input and outcome measures, to explain and reduce heterogeneity and to test our hypotheses”​ </t>
      </text>
    </comment>
    <comment ref="DF19" authorId="218" shapeId="0" xr:uid="{70E145CC-C90A-3746-BDA1-B4706E1F9603}">
      <text>
        <t>[Threaded comment]
Your version of Excel allows you to read this threaded comment; however, any edits to it will get removed if the file is opened in a newer version of Excel. Learn more: https://go.microsoft.com/fwlink/?linkid=870924
Comment:
    Table 3</t>
      </text>
    </comment>
    <comment ref="DG19" authorId="219" shapeId="0" xr:uid="{CF2B48FB-CEBA-4E43-9C7B-E1AEF4B23DE3}">
      <text>
        <t>[Threaded comment]
Your version of Excel allows you to read this threaded comment; however, any edits to it will get removed if the file is opened in a newer version of Excel. Learn more: https://go.microsoft.com/fwlink/?linkid=870924
Comment:
    Table 4</t>
      </text>
    </comment>
    <comment ref="DJ19" authorId="220" shapeId="0" xr:uid="{CBF919FB-7A70-4C45-89F6-D52F13EE6AA4}">
      <text>
        <t>[Threaded comment]
Your version of Excel allows you to read this threaded comment; however, any edits to it will get removed if the file is opened in a newer version of Excel. Learn more: https://go.microsoft.com/fwlink/?linkid=870924
Comment:
    not in intro or discussion</t>
      </text>
    </comment>
    <comment ref="DL19" authorId="221" shapeId="0" xr:uid="{CBFF0142-8B90-0F4F-B6B7-1CC86D05D5B7}">
      <text>
        <t xml:space="preserve">[Threaded comment]
Your version of Excel allows you to read this threaded comment; however, any edits to it will get removed if the file is opened in a newer version of Excel. Learn more: https://go.microsoft.com/fwlink/?linkid=870924
Comment:
    “A high degree of generalization of concepts implies heterogeneity and large variability within these concept categories. The ‘apples and oranges’ problem is common to first-order meta-analysis but is aggravated in second-order meta-analysis. The findings can be interpreted in very broad terms only (e.g., effects of source on attitudes), and they cannot be generalized to any particular source characteristic or outcome” </t>
      </text>
    </comment>
    <comment ref="DO19" authorId="222" shapeId="0" xr:uid="{C976E557-8267-F943-9AEE-D6A578CA044C}">
      <text>
        <t xml:space="preserve">[Threaded comment]
Your version of Excel allows you to read this threaded comment; however, any edits to it will get removed if the file is opened in a newer version of Excel. Learn more: https://go.microsoft.com/fwlink/?linkid=870924
Comment:
    "A high degree of generalization of concepts implies heterogeneity and large variability within these concept categories. ... A meta-meta-analysis is limited in evaluating existing theories that have been applied in prior individual studies. ... [Further], the meta-meta-analysis falls short when explaining the variation of effect sizes by other moderating variables (e.g., culture, sample, product categories) due to a lack of data: Data at the meta-analytic level are always based on a mix of studies from different countries, different product categories, with different samples, and so on" </t>
      </text>
    </comment>
    <comment ref="E20" authorId="223" shapeId="0" xr:uid="{DBFBA734-46D3-473E-AA9B-148F60ADF471}">
      <text>
        <t>[Threaded comment]
Your version of Excel allows you to read this threaded comment; however, any edits to it will get removed if the file is opened in a newer version of Excel. Learn more: https://go.microsoft.com/fwlink/?linkid=870924
Comment:
    2024</t>
      </text>
    </comment>
    <comment ref="AB20" authorId="224" shapeId="0" xr:uid="{849B0F61-19E6-4515-9814-FC4D75C1BA2A}">
      <text>
        <t>[Threaded comment]
Your version of Excel allows you to read this threaded comment; however, any edits to it will get removed if the file is opened in a newer version of Excel. Learn more: https://go.microsoft.com/fwlink/?linkid=870924
Comment:
    ”Based on 119 effect sizes with more than 2.5 million prekindergarten and K-12 students”</t>
      </text>
    </comment>
    <comment ref="AE20" authorId="225" shapeId="0" xr:uid="{2439E706-5ABE-4973-B0CA-6D3E99EB8027}">
      <text>
        <t>[Threaded comment]
Your version of Excel allows you to read this threaded comment; however, any edits to it will get removed if the file is opened in a newer version of Excel. Learn more: https://go.microsoft.com/fwlink/?linkid=870924
Comment:
    ”This limitation to English may have implicitly skewed our metaanalytic sample and may have overproportionately included more students, researchers, and research from English-speaking and Western countries.”</t>
      </text>
    </comment>
    <comment ref="AG20" authorId="226" shapeId="0" xr:uid="{C9CDC76C-B751-4202-A8E2-F719E76FBDFC}">
      <text>
        <t>[Threaded comment]
Your version of Excel allows you to read this threaded comment; however, any edits to it will get removed if the file is opened in a newer version of Excel. Learn more: https://go.microsoft.com/fwlink/?linkid=870924
Comment:
    “Our literature search was focused on meta-analyses that were published and unpublished (e.g., dissertations) and listed in the following databases …”</t>
      </text>
    </comment>
    <comment ref="AJ20" authorId="227" shapeId="0" xr:uid="{FADBEE36-EA76-46CC-B90E-B427F3DE36A4}">
      <text>
        <t>[Threaded comment]
Your version of Excel allows you to read this threaded comment; however, any edits to it will get removed if the file is opened in a newer version of Excel. Learn more: https://go.microsoft.com/fwlink/?linkid=870924
Comment:
    “In the initial screening, the first author and a research assistant double-screened 689 out of 3,406 references (approximately 20% of the studies) and achieved 99% agreement with Cohen’s 𝜅 = .77. Disagreements were resolved in a discussion. Next, we conducted the full-text screening. We double-screened 34 out of 109 references (approximately 31%) and achieved 91% agreement with Cohen’s 𝜅 = .72.”</t>
      </text>
    </comment>
    <comment ref="AM20" authorId="228" shapeId="0" xr:uid="{5787B030-84ED-4373-B702-1355917CB5EE}">
      <text>
        <t xml:space="preserve">[Threaded comment]
Your version of Excel allows you to read this threaded comment; however, any edits to it will get removed if the file is opened in a newer version of Excel. Learn more: https://go.microsoft.com/fwlink/?linkid=870924
Comment:
    The original values indicate that approximately 20% of the studies were screened during the initial phase and 31% during the full-text screening. To provide a more balanced estimate, we have averaged these values, resulting in an overall screening rate of 25.5%. </t>
      </text>
    </comment>
    <comment ref="AO20" authorId="229" shapeId="0" xr:uid="{E3C80E30-D600-4CF9-819A-9B865CF059EF}">
      <text>
        <t>[Threaded comment]
Your version of Excel allows you to read this threaded comment; however, any edits to it will get removed if the file is opened in a newer version of Excel. Learn more: https://go.microsoft.com/fwlink/?linkid=870924
Comment:
    ”… study designs (correlational, experimental, longitudinal, interventional),  …”</t>
      </text>
    </comment>
    <comment ref="AW20" authorId="230" shapeId="0" xr:uid="{F97E9ADC-45E8-45AD-9016-86EB431FD48B}">
      <text>
        <t xml:space="preserve">[Threaded comment]
Your version of Excel allows you to read this threaded comment; however, any edits to it will get removed if the file is opened in a newer version of Excel. Learn more: https://go.microsoft.com/fwlink/?linkid=870924
Comment:
    “We extracted the weighted average Pearson correlations and their respective standard errors if they were available. If Pearson correlations were not available, we extracted alternative effect sizes (e.g., Cohen’s d) and transformed them into Pearson’s r.” </t>
      </text>
    </comment>
    <comment ref="BF20" authorId="231" shapeId="0" xr:uid="{DCA8DDAB-6C53-4228-9D0C-5725627A41F8}">
      <text>
        <t>[Threaded comment]
Your version of Excel allows you to read this threaded comment; however, any edits to it will get removed if the file is opened in a newer version of Excel. Learn more: https://go.microsoft.com/fwlink/?linkid=870924
Comment:
    “The first and the third authors independently extracted and coded the data from the full texts.“</t>
      </text>
    </comment>
    <comment ref="BJ20" authorId="232" shapeId="0" xr:uid="{C9EB6DCF-BB17-4242-B75B-486640B5DA43}">
      <text>
        <t xml:space="preserve">[Threaded comment]
Your version of Excel allows you to read this threaded comment; however, any edits to it will get removed if the file is opened in a newer version of Excel. Learn more: https://go.microsoft.com/fwlink/?linkid=870924
Comment:
    “After screening the meta-analyses, we reviewed their characteristics and assessed the overlap in included primary studies. First, we checked the overlap in primary studies of the included meta-analysis with the help of a cross-table in Appendix B (Pieper et al., 2014).” </t>
      </text>
    </comment>
    <comment ref="BN20" authorId="233" shapeId="0" xr:uid="{2B5D43F9-218F-47D9-AD68-FF69B14F3132}">
      <text>
        <t xml:space="preserve">[Threaded comment]
Your version of Excel allows you to read this threaded comment; however, any edits to it will get removed if the file is opened in a newer version of Excel. Learn more: https://go.microsoft.com/fwlink/?linkid=870924
Comment:
    “To address RQ3, we evaluated the methodological quality, reproducibility, and statistical power of the included meta-analyses with a total of 16 binary items.” </t>
      </text>
    </comment>
    <comment ref="BQ20" authorId="234" shapeId="0" xr:uid="{D046A50E-E727-4D0B-BA13-326A2CFC30EF}">
      <text>
        <t xml:space="preserve">[Threaded comment]
Your version of Excel allows you to read this threaded comment; however, any edits to it will get removed if the file is opened in a newer version of Excel. Learn more: https://go.microsoft.com/fwlink/?linkid=870924
Comment:
    “We reviewed the 16 items narratively (RQ3a) and entered all the items separately into the moderator analyses. We also added them together to form a sum score representing overall methodological quality of the meta-analysis (RQ3c).” </t>
      </text>
    </comment>
    <comment ref="BR20" authorId="235" shapeId="0" xr:uid="{1804F767-E8F0-438B-AEAA-08FA417D868D}">
      <text>
        <t xml:space="preserve">[Threaded comment]
Your version of Excel allows you to read this threaded comment; however, any edits to it will get removed if the file is opened in a newer version of Excel. Learn more: https://go.microsoft.com/fwlink/?linkid=870924
Comment:
    “Finally, to address RQ3c, we examined the possible moderating effects of methodological quality.” </t>
      </text>
    </comment>
    <comment ref="BT20" authorId="236" shapeId="0" xr:uid="{B85CA320-D4CD-4EF0-AB8D-421C1EED7A0A}">
      <text>
        <t xml:space="preserve">[Threaded comment]
Your version of Excel allows you to read this threaded comment; however, any edits to it will get removed if the file is opened in a newer version of Excel. Learn more: https://go.microsoft.com/fwlink/?linkid=870924
Comment:
    “We found a preference for the three-level random-effects but chose the three-level random-effects model with correlated effects as the baseline—due to its theoretical implications—for further moderator analyses.” </t>
      </text>
    </comment>
    <comment ref="CC20" authorId="237" shapeId="0" xr:uid="{17522A68-4576-45F0-8C4D-EF3D38814B4C}">
      <text>
        <t xml:space="preserve">[Threaded comment]
Your version of Excel allows you to read this threaded comment; however, any edits to it will get removed if the file is opened in a newer version of Excel. Learn more: https://go.microsoft.com/fwlink/?linkid=870924
Comment:
    "Given the dependencies between the multiple correlations reported in a meta-analysis, we assumed that a multilevel data structure was needed to describe the variation within and between the meta-analyses." </t>
      </text>
    </comment>
    <comment ref="CD20" authorId="238" shapeId="0" xr:uid="{E907E471-409C-4DF7-9EDA-17B0236FD534}">
      <text>
        <t xml:space="preserve">[Threaded comment]
Your version of Excel allows you to read this threaded comment; however, any edits to it will get removed if the file is opened in a newer version of Excel. Learn more: https://go.microsoft.com/fwlink/?linkid=870924
Comment:
    "We assumed (a) a three-level, hierarchical data structure with variances at the levels of the primary studies, within meta-analyses, and between meta-analyses." </t>
      </text>
    </comment>
    <comment ref="CE20" authorId="239" shapeId="0" xr:uid="{A40F9EC3-F115-4147-9FAC-16F10BDC3F44}">
      <text>
        <t xml:space="preserve">[Threaded comment]
Your version of Excel allows you to read this threaded comment; however, any edits to it will get removed if the file is opened in a newer version of Excel. Learn more: https://go.microsoft.com/fwlink/?linkid=870924
Comment:
    "To avoid replicating selectively published findings in the meta-analysis, we assessed publication bias at the level of the included meta-analyses instead of the primary studies." </t>
      </text>
    </comment>
    <comment ref="CL20" authorId="240" shapeId="0" xr:uid="{59C3CAB9-9FE2-47AD-A604-109D61346B81}">
      <text>
        <t xml:space="preserve">[Threaded comment]
Your version of Excel allows you to read this threaded comment; however, any edits to it will get removed if the file is opened in a newer version of Excel. Learn more: https://go.microsoft.com/fwlink/?linkid=870924
Comment:
    "We calculated Cochran’s Q to examine whether the weighted average effect sizes were heterogeneous across meta-analyses. A statistically significant Q value indicates heterogeneity within the distribution of effect sizes."
"Furthermore, we calculated the I2 indices for the heterogeneity estimates within and between meta-analyses." 
</t>
      </text>
    </comment>
    <comment ref="CR20" authorId="241" shapeId="0" xr:uid="{23B8ECFC-FE28-4187-BDB0-7C9F0004E1E7}">
      <text>
        <t xml:space="preserve">[Threaded comment]
Your version of Excel allows you to read this threaded comment; however, any edits to it will get removed if the file is opened in a newer version of Excel. Learn more: https://go.microsoft.com/fwlink/?linkid=870924
Comment:
    "To address RQ2a and RQ3c, we conducted moderator analyses for the publication, sample, measurement, and quality characteristics." </t>
      </text>
    </comment>
    <comment ref="CS20" authorId="242" shapeId="0" xr:uid="{A11A9C72-B052-471E-9A0E-1FB2CB1E9232}">
      <text>
        <t xml:space="preserve">[Threaded comment]
Your version of Excel allows you to read this threaded comment; however, any edits to it will get removed if the file is opened in a newer version of Excel. Learn more: https://go.microsoft.com/fwlink/?linkid=870924
Comment:
    "We extended the three-level random-effects model (i.e., the SOMA baseline model) to a mixed-effects (meta-regression) model by adding the potential moderating variables." </t>
      </text>
    </comment>
    <comment ref="CW20" authorId="243" shapeId="0" xr:uid="{00868B7B-2EB2-409E-B893-B0B3FF74546C}">
      <text>
        <t xml:space="preserve">[Threaded comment]
Your version of Excel allows you to read this threaded comment; however, any edits to it will get removed if the file is opened in a newer version of Excel. Learn more: https://go.microsoft.com/fwlink/?linkid=870924
Comment:
    "As part of our sensitivity analyses, we further examined the impact of this choice on the pooled correlation." </t>
      </text>
    </comment>
    <comment ref="CY20" authorId="244" shapeId="0" xr:uid="{5460CDDA-C6AA-4CCD-9E0F-3C7C78896C55}">
      <text>
        <t xml:space="preserve">[Threaded comment]
Your version of Excel allows you to read this threaded comment; however, any edits to it will get removed if the file is opened in a newer version of Excel. Learn more: https://go.microsoft.com/fwlink/?linkid=870924
Comment:
    "To complement our selection of methodological quality indicators, we calculated the statistical power of each included meta-analysis with the R package 'metameta'." </t>
      </text>
    </comment>
    <comment ref="DA20" authorId="245" shapeId="0" xr:uid="{B11A6306-A146-4262-807B-FC71295C6A43}">
      <text>
        <t>[Threaded comment]
Your version of Excel allows you to read this threaded comment; however, any edits to it will get removed if the file is opened in a newer version of Excel. Learn more: https://go.microsoft.com/fwlink/?linkid=870924
Comment:
    Figure 1</t>
      </text>
    </comment>
    <comment ref="DB20" authorId="246" shapeId="0" xr:uid="{A2D02214-4296-4003-9BAC-DB2CBC45921A}">
      <text>
        <t>[Threaded comment]
Your version of Excel allows you to read this threaded comment; however, any edits to it will get removed if the file is opened in a newer version of Excel. Learn more: https://go.microsoft.com/fwlink/?linkid=870924
Comment:
    Figure 2</t>
      </text>
    </comment>
    <comment ref="DC20" authorId="247" shapeId="0" xr:uid="{51DC385F-2289-47FA-A608-BB058A442867}">
      <text>
        <t>[Threaded comment]
Your version of Excel allows you to read this threaded comment; however, any edits to it will get removed if the file is opened in a newer version of Excel. Learn more: https://go.microsoft.com/fwlink/?linkid=870924
Comment:
    supplementary</t>
      </text>
    </comment>
    <comment ref="DE20" authorId="248" shapeId="0" xr:uid="{BDA966AF-9847-44B5-9D1B-8310A077CB6A}">
      <text>
        <t>[Threaded comment]
Your version of Excel allows you to read this threaded comment; however, any edits to it will get removed if the file is opened in a newer version of Excel. Learn more: https://go.microsoft.com/fwlink/?linkid=870924
Comment:
    Table 1</t>
      </text>
    </comment>
    <comment ref="DG20" authorId="249" shapeId="0" xr:uid="{28839472-65F0-424D-8F86-6DE5DB2C5BBE}">
      <text>
        <t>[Threaded comment]
Your version of Excel allows you to read this threaded comment; however, any edits to it will get removed if the file is opened in a newer version of Excel. Learn more: https://go.microsoft.com/fwlink/?linkid=870924
Comment:
    Appendix D</t>
      </text>
    </comment>
    <comment ref="DH20" authorId="250" shapeId="0" xr:uid="{66C63F27-A874-49A2-B933-88E9B9BC5A35}">
      <text>
        <t>[Threaded comment]
Your version of Excel allows you to read this threaded comment; however, any edits to it will get removed if the file is opened in a newer version of Excel. Learn more: https://go.microsoft.com/fwlink/?linkid=870924
Comment:
    Figure 4</t>
      </text>
    </comment>
    <comment ref="DJ20" authorId="251" shapeId="0" xr:uid="{D4F89F1C-8C9E-4A00-85BD-EC0780BD0640}">
      <text>
        <t>[Threaded comment]
Your version of Excel allows you to read this threaded comment; however, any edits to it will get removed if the file is opened in a newer version of Excel. Learn more: https://go.microsoft.com/fwlink/?linkid=870924
Comment:
    Not in discussion section</t>
      </text>
    </comment>
    <comment ref="DK20" authorId="252" shapeId="0" xr:uid="{D7C7051C-675B-4C9F-8BA6-662F8FCE109D}">
      <text>
        <t xml:space="preserve">[Threaded comment]
Your version of Excel allows you to read this threaded comment; however, any edits to it will get removed if the file is opened in a newer version of Excel. Learn more: https://go.microsoft.com/fwlink/?linkid=870924
Comment:
    "Original data, analytic code, measurement instruments, and other materials can be directly stored on open-access platforms, such as the Open Science Framework." 
"Adhering to common reporting guidelines and open science practices in both primary and meta-analytic research will facilitate future research and render it more meaningful." </t>
      </text>
    </comment>
    <comment ref="DL20" authorId="253" shapeId="0" xr:uid="{D2D1864C-9F34-403B-857D-2D37AF45D81E}">
      <text>
        <t xml:space="preserve">[Threaded comment]
Your version of Excel allows you to read this threaded comment; however, any edits to it will get removed if the file is opened in a newer version of Excel. Learn more: https://go.microsoft.com/fwlink/?linkid=870924
Comment:
    "This high level of abstraction applies to all second-order reviews and meta-analyses, leading to several imprecisions in the sample or the definition of constructs and their measurement." </t>
      </text>
    </comment>
    <comment ref="DM20" authorId="254" shapeId="0" xr:uid="{04AA3B14-B6A1-4FCF-8461-A59EAFD1B26B}">
      <text>
        <t xml:space="preserve">[Threaded comment]
Your version of Excel allows you to read this threaded comment; however, any edits to it will get removed if the file is opened in a newer version of Excel. Learn more: https://go.microsoft.com/fwlink/?linkid=870924
Comment:
    "This limitation to English may have implicitly skewed our meta-analytic sample and may have overproportionately included more students, researchers, and research from English-speaking and Western countries." </t>
      </text>
    </comment>
    <comment ref="DP20" authorId="255" shapeId="0" xr:uid="{3DAA7710-F7A7-4DCC-AAD9-B2C1F34DBA69}">
      <text>
        <t xml:space="preserve">[Threaded comment]
Your version of Excel allows you to read this threaded comment; however, any edits to it will get removed if the file is opened in a newer version of Excel. Learn more: https://go.microsoft.com/fwlink/?linkid=870924
Comment:
    "We preregistered the literature search parameters, stopping rules for data collection, variables, hypotheses, and planned analyses in the Open Science Framework." </t>
      </text>
    </comment>
    <comment ref="DR20" authorId="256" shapeId="0" xr:uid="{3F9A7D8A-A29B-485F-8C1E-BE068E5B80DB}">
      <text>
        <t xml:space="preserve">[Threaded comment]
Your version of Excel allows you to read this threaded comment; however, any edits to it will get removed if the file is opened in a newer version of Excel. Learn more: https://go.microsoft.com/fwlink/?linkid=870924
Comment:
    "Original data, analytic code, measurement instruments, and other materials can be directly stored on open-access platforms, such as the Open Science Framework." </t>
      </text>
    </comment>
    <comment ref="DS20" authorId="257" shapeId="0" xr:uid="{9783E2A9-6EA4-41AE-B289-40ED5B4C75FC}">
      <text>
        <t>[Threaded comment]
Your version of Excel allows you to read this threaded comment; however, any edits to it will get removed if the file is opened in a newer version of Excel. Learn more: https://go.microsoft.com/fwlink/?linkid=870924
Comment:
    “The Supplemental Material contains the data (S1), the codebook (S2), and the analytical code (S3), the detailed documentation of the literature database search (S5), the back-and-forth search (S6), the gray literature search (S7), the call for meta-analyses (S8), and the updated screening forms (S9).“</t>
      </text>
    </comment>
    <comment ref="DT20" authorId="258" shapeId="0" xr:uid="{9C00AFEF-202A-491C-B9D0-74B309D4D142}">
      <text>
        <t xml:space="preserve">[Threaded comment]
Your version of Excel allows you to read this threaded comment; however, any edits to it will get removed if the file is opened in a newer version of Excel. Learn more: https://go.microsoft.com/fwlink/?linkid=870924
Comment:
    "The data set and the analytic code are stored in the Supplemental Materials S1 and S3." </t>
      </text>
    </comment>
    <comment ref="DU20" authorId="259" shapeId="0" xr:uid="{67997359-9D2B-4079-BFFE-41170335BC2D}">
      <text>
        <t xml:space="preserve">[Threaded comment]
Your version of Excel allows you to read this threaded comment; however, any edits to it will get removed if the file is opened in a newer version of Excel. Learn more: https://go.microsoft.com/fwlink/?linkid=870924
Comment:
    "The data set and the analytic code are stored in the Supplemental Materials S1 and S3." </t>
      </text>
    </comment>
    <comment ref="W21" authorId="260" shapeId="0" xr:uid="{87EA88F2-66F8-4591-B5CA-2DFC75C565B5}">
      <text>
        <t>[Threaded comment]
Your version of Excel allows you to read this threaded comment; however, any edits to it will get removed if the file is opened in a newer version of Excel. Learn more: https://go.microsoft.com/fwlink/?linkid=870924
Comment:
    Table 1</t>
      </text>
    </comment>
    <comment ref="AA21" authorId="261" shapeId="0" xr:uid="{78B954A8-1876-4158-8FCE-3C9070235F94}">
      <text>
        <t xml:space="preserve">[Threaded comment]
Your version of Excel allows you to read this threaded comment; however, any edits to it will get removed if the file is opened in a newer version of Excel. Learn more: https://go.microsoft.com/fwlink/?linkid=870924
Comment:
    Caution: there is a discrepancy between the flow chart (q = 33) and the text (q = 34). We used the number from the text. </t>
      </text>
    </comment>
    <comment ref="AD21" authorId="262" shapeId="0" xr:uid="{333E5B82-93AD-4A3F-8267-23A68DB76CDF}">
      <text>
        <t xml:space="preserve">[Threaded comment]
Your version of Excel allows you to read this threaded comment; however, any edits to it will get removed if the file is opened in a newer version of Excel. Learn more: https://go.microsoft.com/fwlink/?linkid=870924
Comment:
    "The majority of meta-analyses included general population samples, including working adults ... Purely clinical samples were included in 4 meta-analyses and students were the primary population in 3 meta-analyses"​ </t>
      </text>
    </comment>
    <comment ref="AE21" authorId="263" shapeId="0" xr:uid="{5DCE3AF8-C28D-478E-8E88-F38E53DF02C1}">
      <text>
        <t xml:space="preserve">[Threaded comment]
Your version of Excel allows you to read this threaded comment; however, any edits to it will get removed if the file is opened in a newer version of Excel. Learn more: https://go.microsoft.com/fwlink/?linkid=870924
Comment:
    "not published in a peer-reviewed English language journal"​ </t>
      </text>
    </comment>
    <comment ref="AG21" authorId="264" shapeId="0" xr:uid="{52958055-44CC-4B9F-B11C-33B5D6F56704}">
      <text>
        <t>[Threaded comment]
Your version of Excel allows you to read this threaded comment; however, any edits to it will get removed if the file is opened in a newer version of Excel. Learn more: https://go.microsoft.com/fwlink/?linkid=870924
Comment:
     "The exclusion criteria for our review were: ... (h) not published in a peer-reviewed English language journal"​ 
“The goal of our rapid review is to provide a broad summary of the current evidence drawn from published metaanalyses in order to …”</t>
      </text>
    </comment>
    <comment ref="AO21" authorId="265" shapeId="0" xr:uid="{C41C19C8-848F-4604-9234-2C35EC05F308}">
      <text>
        <t xml:space="preserve">[Threaded comment]
Your version of Excel allows you to read this threaded comment; however, any edits to it will get removed if the file is opened in a newer version of Excel. Learn more: https://go.microsoft.com/fwlink/?linkid=870924
Comment:
    "The inclusion criteria for our review were: (a) quantitative meta-analysis of RCTs or experimental studies"​ </t>
      </text>
    </comment>
    <comment ref="AW21" authorId="266" shapeId="0" xr:uid="{6463AFE4-D3F6-448B-B9E0-DD00A20C3D8D}">
      <text>
        <t xml:space="preserve">[Threaded comment]
Your version of Excel allows you to read this threaded comment; however, any edits to it will get removed if the file is opened in a newer version of Excel. Learn more: https://go.microsoft.com/fwlink/?linkid=870924
Comment:
    "We present the average effect size and 95% confidence interval as reported in the original meta-analyses in the form of a forest plot. The most common effect sizes are variations of the standardized mean difference (typically d or g ) ... we converted standardized mean differences into r and then z-transformed r"​ </t>
      </text>
    </comment>
    <comment ref="BJ21" authorId="267" shapeId="0" xr:uid="{85544D27-7E17-46E7-AEED-513DF4F440FD}">
      <text>
        <t xml:space="preserve">[Threaded comment]
Your version of Excel allows you to read this threaded comment; however, any edits to it will get removed if the file is opened in a newer version of Excel. Learn more: https://go.microsoft.com/fwlink/?linkid=870924
Comment:
    "Using all eligible meta-analyses may mean that identical primary studies might be included in a series of meta-analyses, leading to potential double-counting and duplication of effect sizes that would bias the overall patterns. To overcome this problem, we adopted the following strategies."​ </t>
      </text>
    </comment>
    <comment ref="BN21" authorId="268" shapeId="0" xr:uid="{F828B4FE-F82C-4A35-986F-66E4E814BBA8}">
      <text>
        <t>[Threaded comment]
Your version of Excel allows you to read this threaded comment; however, any edits to it will get removed if the file is opened in a newer version of Excel. Learn more: https://go.microsoft.com/fwlink/?linkid=870924
Comment:
    Tools such as the Jadad Scale or Cochrane Risk of Bias Tool were used in some of the included meta-analyses (see table 1)</t>
      </text>
    </comment>
    <comment ref="BT21" authorId="269" shapeId="0" xr:uid="{D7D75272-FDD3-4F87-AB37-657FB410CC44}">
      <text>
        <t xml:space="preserve">[Threaded comment]
Your version of Excel allows you to read this threaded comment; however, any edits to it will get removed if the file is opened in a newer version of Excel. Learn more: https://go.microsoft.com/fwlink/?linkid=870924
Comment:
    "The average effect sizes per intervention category were computed using rma with REML estimation in the metafor package in R (Viechtbauer, 2010)."​ 
This confirms that the modeling approach for the SOMA was the standard random-effects model, not a fixed-effects model, multivariate meta-analysis, or multilevel meta-analysis. </t>
      </text>
    </comment>
    <comment ref="DE21" authorId="270" shapeId="0" xr:uid="{30978947-ADC7-4EED-B88E-736825376F3B}">
      <text>
        <t>[Threaded comment]
Your version of Excel allows you to read this threaded comment; however, any edits to it will get removed if the file is opened in a newer version of Excel. Learn more: https://go.microsoft.com/fwlink/?linkid=870924
Comment:
    Table 1</t>
      </text>
    </comment>
    <comment ref="DM21" authorId="271" shapeId="0" xr:uid="{7B70F2C3-2D76-48FB-9746-CA8A34BFFE7C}">
      <text>
        <t xml:space="preserve">[Threaded comment]
Your version of Excel allows you to read this threaded comment; however, any edits to it will get removed if the file is opened in a newer version of Excel. Learn more: https://go.microsoft.com/fwlink/?linkid=870924
Comment:
    It is mentioned in introduction and right before the discussion. 
“The interventions are often conducted with Western, industrialized and individualistic samples (Henrich et al., 2010), requiring more attention to cultural differences in effectiveness."​ </t>
      </text>
    </comment>
    <comment ref="DT21" authorId="272" shapeId="0" xr:uid="{AE43D456-0641-3344-80D5-1FD132C8123D}">
      <text>
        <t>[Threaded comment]
Your version of Excel allows you to read this threaded comment; however, any edits to it will get removed if the file is opened in a newer version of Excel. Learn more: https://go.microsoft.com/fwlink/?linkid=870924
Comment:
    Online supplemental material “analysis.code.april23.R”</t>
      </text>
    </comment>
    <comment ref="DU21" authorId="273" shapeId="0" xr:uid="{5DD4774C-8CE4-41B8-9939-4A21410267A9}">
      <text>
        <t xml:space="preserve">[Threaded comment]
Your version of Excel allows you to read this threaded comment; however, any edits to it will get removed if the file is opened in a newer version of Excel. Learn more: https://go.microsoft.com/fwlink/?linkid=870924
Comment:
     table “es_final-april23.csv” in their OSM is their dataset.
</t>
      </text>
    </comment>
    <comment ref="AO22" authorId="274" shapeId="0" xr:uid="{2707F6A4-4BB3-4455-A3F6-0D632281D329}">
      <text>
        <t>[Threaded comment]
Your version of Excel allows you to read this threaded comment; however, any edits to it will get removed if the file is opened in a newer version of Excel. Learn more: https://go.microsoft.com/fwlink/?linkid=870924
Comment:
    The focus on meta-analyses of emotional intelligence studies, which typically rely on observational data like correlations, strongly suggests that the primary studies are predominantly cross-sectional in design.</t>
      </text>
    </comment>
    <comment ref="AW22" authorId="275" shapeId="0" xr:uid="{25DF6D5B-2F3B-44A6-8ED6-49999F962BA5}">
      <text>
        <t xml:space="preserve">[Threaded comment]
Your version of Excel allows you to read this threaded comment; however, any edits to it will get removed if the file is opened in a newer version of Excel. Learn more: https://go.microsoft.com/fwlink/?linkid=870924
Comment:
    "All the effect sizes we extracted from nine meta-analyses were correlation (r), so we chose correlation (r) as the type of effect size." </t>
      </text>
    </comment>
    <comment ref="BF22" authorId="276" shapeId="0" xr:uid="{6D46C362-C0F2-4A99-83B3-0A6115BC8D57}">
      <text>
        <t>[Threaded comment]
Your version of Excel allows you to read this threaded comment; however, any edits to it will get removed if the file is opened in a newer version of Excel. Learn more: https://go.microsoft.com/fwlink/?linkid=870924
Comment:
    "Two independent recorders (i.e., the first author and the second author) double-coded all the primary studies from collected meta-analyses…”</t>
      </text>
    </comment>
    <comment ref="BG22" authorId="277" shapeId="0" xr:uid="{8FFACFCF-EA73-4B4D-8650-5008FAB30769}">
      <text>
        <t xml:space="preserve">[Threaded comment]
Your version of Excel allows you to read this threaded comment; however, any edits to it will get removed if the file is opened in a newer version of Excel. Learn more: https://go.microsoft.com/fwlink/?linkid=870924
Comment:
    "Achieving an intra-class correlation (ICC) of 0.95 of coding comparison..."​ </t>
      </text>
    </comment>
    <comment ref="BJ22" authorId="278" shapeId="0" xr:uid="{DF1B8BF6-74C5-4533-A645-0BD353FB6DE1}">
      <text>
        <t xml:space="preserve">[Threaded comment]
Your version of Excel allows you to read this threaded comment; however, any edits to it will get removed if the file is opened in a newer version of Excel. Learn more: https://go.microsoft.com/fwlink/?linkid=870924
Comment:
    "After the literature screening, we encoded all the primary studies from collected meta-analyses, in which repetitive primary studies were coded only once. This way, we ensured the independence of the primary studies"​ </t>
      </text>
    </comment>
    <comment ref="BT22" authorId="279" shapeId="0" xr:uid="{53705A27-8F07-4D57-AD4C-D133752757F9}">
      <text>
        <t>[Threaded comment]
Your version of Excel allows you to read this threaded comment; however, any edits to it will get removed if the file is opened in a newer version of Excel. Learn more: https://go.microsoft.com/fwlink/?linkid=870924
Comment:
    “Therefore, we should choose random-effects model rather than fixed-effects model in following analyses.“</t>
      </text>
    </comment>
    <comment ref="CF22" authorId="280" shapeId="0" xr:uid="{CE40B17F-1FE6-4295-B42C-5A08C175109F}">
      <text>
        <t xml:space="preserve">[Threaded comment]
Your version of Excel allows you to read this threaded comment; however, any edits to it will get removed if the file is opened in a newer version of Excel. Learn more: https://go.microsoft.com/fwlink/?linkid=870924
Comment:
    "The mechanism for displaying the relationship between study size and effect size is the funnel plot"​ </t>
      </text>
    </comment>
    <comment ref="CM22" authorId="281" shapeId="0" xr:uid="{D6C2B0E7-612A-4665-BDF4-6614E8A8F678}">
      <text>
        <t xml:space="preserve">[Threaded comment]
Your version of Excel allows you to read this threaded comment; however, any edits to it will get removed if the file is opened in a newer version of Excel. Learn more: https://go.microsoft.com/fwlink/?linkid=870924
Comment:
    "… effect sizes in the field of mixed EI are heterogeneous (Q = 3882.462, df = 375, p &lt; 0.001), effect sizes in the field of ability EI are also heterogeneous (Q = 734.104, df = 107, p &lt; 0.001)"​ </t>
      </text>
    </comment>
    <comment ref="CS22" authorId="282" shapeId="0" xr:uid="{D0F1FF71-A571-4442-BDFA-96DAFF19E4E6}">
      <text>
        <t xml:space="preserve">[Threaded comment]
Your version of Excel allows you to read this threaded comment; however, any edits to it will get removed if the file is opened in a newer version of Excel. Learn more: https://go.microsoft.com/fwlink/?linkid=870924
Comment:
    "Meta regression was carried out, and results were as follow" </t>
      </text>
    </comment>
    <comment ref="DB22" authorId="283" shapeId="0" xr:uid="{52C54955-AB30-45F7-823B-FDF39A10BC69}">
      <text>
        <t>[Threaded comment]
Your version of Excel allows you to read this threaded comment; however, any edits to it will get removed if the file is opened in a newer version of Excel. Learn more: https://go.microsoft.com/fwlink/?linkid=870924
Comment:
    Figure 2</t>
      </text>
    </comment>
    <comment ref="DD22" authorId="284" shapeId="0" xr:uid="{D6D320CB-8DCB-41B1-81E4-68C52C906E70}">
      <text>
        <t xml:space="preserve">[Threaded comment]
Your version of Excel allows you to read this threaded comment; however, any edits to it will get removed if the file is opened in a newer version of Excel. Learn more: https://go.microsoft.com/fwlink/?linkid=870924
Comment:
    Figure 4 - 5: Regression of time on Fisher’s Z for overall EI, mixed EI, and ability EI.
Figure 6: Line chart showing changes in the number of studies over time
</t>
      </text>
    </comment>
    <comment ref="DF22" authorId="285" shapeId="0" xr:uid="{A5F939EA-0B9B-43EC-A68A-E6E8D6D3B3D3}">
      <text>
        <t>[Threaded comment]
Your version of Excel allows you to read this threaded comment; however, any edits to it will get removed if the file is opened in a newer version of Excel. Learn more: https://go.microsoft.com/fwlink/?linkid=870924
Comment:
    Table 3</t>
      </text>
    </comment>
    <comment ref="DG22" authorId="286" shapeId="0" xr:uid="{6EF7AD6A-EF27-40B5-AA20-EB176AA51D52}">
      <text>
        <t>[Threaded comment]
Your version of Excel allows you to read this threaded comment; however, any edits to it will get removed if the file is opened in a newer version of Excel. Learn more: https://go.microsoft.com/fwlink/?linkid=870924
Comment:
    Table 4</t>
      </text>
    </comment>
    <comment ref="DK22" authorId="287" shapeId="0" xr:uid="{A1164E58-0A88-4575-9840-8B0ED6839062}">
      <text>
        <t xml:space="preserve">[Threaded comment]
Your version of Excel allows you to read this threaded comment; however, any edits to it will get removed if the file is opened in a newer version of Excel. Learn more: https://go.microsoft.com/fwlink/?linkid=870924
Comment:
    "At present, many scientists advocate preregistration, that is, researchers openly register their studies before research"​ </t>
      </text>
    </comment>
    <comment ref="DU22" authorId="288" shapeId="0" xr:uid="{D61693AE-9181-4EA3-A2CF-E5B4C99234F6}">
      <text>
        <t xml:space="preserve">[Threaded comment]
Your version of Excel allows you to read this threaded comment; however, any edits to it will get removed if the file is opened in a newer version of Excel. Learn more: https://go.microsoft.com/fwlink/?linkid=870924
Comment:
    "The raw data supporting the conclusions of this manuscript will be made available by the authors, without undue reservation, to any qualified researcher"​ </t>
      </text>
    </comment>
    <comment ref="AJ23" authorId="289" shapeId="0" xr:uid="{DC271A94-FA84-4FF9-A664-B65B822EF02C}">
      <text>
        <t xml:space="preserve">[Threaded comment]
Your version of Excel allows you to read this threaded comment; however, any edits to it will get removed if the file is opened in a newer version of Excel. Learn more: https://go.microsoft.com/fwlink/?linkid=870924
Comment:
    "Screening of titles/abstracts and full-text articles retrieved against the eligibility criteria was performed independently by two reviewers (RH and MJP)."​ </t>
      </text>
    </comment>
    <comment ref="AO23" authorId="290" shapeId="0" xr:uid="{3FBF99A5-B003-4727-9A2B-FB69A5D16178}">
      <text>
        <t xml:space="preserve">[Threaded comment]
Your version of Excel allows you to read this threaded comment; however, any edits to it will get removed if the file is opened in a newer version of Excel. Learn more: https://go.microsoft.com/fwlink/?linkid=870924
Comment:
    "The objective of this study was to identify potential trial characteristics associated with reported treatment effect estimates in randomized trials of testosterone therapy in adult men." </t>
      </text>
    </comment>
    <comment ref="AW23" authorId="291" shapeId="0" xr:uid="{477BAD90-A8FC-4589-8B2C-6BAF80551FE3}">
      <text>
        <t xml:space="preserve">[Threaded comment]
Your version of Excel allows you to read this threaded comment; however, any edits to it will get removed if the file is opened in a newer version of Excel. Learn more: https://go.microsoft.com/fwlink/?linkid=870924
Comment:
    "Treatment effects for binary outcomes were estimated as odds ratios (ORs) and treatment effects for continuous outcomes as standardized mean differences (SMDs)." </t>
      </text>
    </comment>
    <comment ref="BF23" authorId="292" shapeId="0" xr:uid="{537C4861-F388-D844-B0B2-A0957136B6B4}">
      <text>
        <t xml:space="preserve">[Threaded comment]
Your version of Excel allows you to read this threaded comment; however, any edits to it will get removed if the file is opened in a newer version of Excel. Learn more: https://go.microsoft.com/fwlink/?linkid=870924
Comment:
    “Two reviewers (MG and LB) independently extracted the
data from all the meta-analyses, and the randomized trials included in each meta-analysis, by using a standardized data collection form.” </t>
      </text>
    </comment>
    <comment ref="BQ23" authorId="293" shapeId="0" xr:uid="{1DD57BBD-7812-4D24-9797-A316D20C8056}">
      <text>
        <t>[Threaded comment]
Your version of Excel allows you to read this threaded comment; however, any edits to it will get removed if the file is opened in a newer version of Excel. Learn more: https://go.microsoft.com/fwlink/?linkid=870924
Comment:
    “We assessed the following domains of the tool: random sequence generation, allocation concealment, blinding of participants and personnel, blinding of outcome assessors, incomplete outcome data, and overall risk of bias. Each domain was judged as ‘‘low risk,’’ ‘‘unclear risk,’’ or ‘‘high risk of bias.’’ “</t>
      </text>
    </comment>
    <comment ref="BR23" authorId="294" shapeId="0" xr:uid="{E18FD22A-B71B-4005-B270-CABDA89C2B4B}">
      <text>
        <t xml:space="preserve">[Threaded comment]
Your version of Excel allows you to read this threaded comment; however, any edits to it will get removed if the file is opened in a newer version of Excel. Learn more: https://go.microsoft.com/fwlink/?linkid=870924
Comment:
    “We analyzed the association between each trial characteristic and the magnitude of a treatment effect using the two-step ‘‘meta-meta-analytic’’ approach for metaepidemiological analyses described by Sterne et al. [10] “ </t>
      </text>
    </comment>
    <comment ref="BT23" authorId="295" shapeId="0" xr:uid="{A284F686-4797-46D9-B7A2-633D5ED0BA68}">
      <text>
        <t xml:space="preserve">[Threaded comment]
Your version of Excel allows you to read this threaded comment; however, any edits to it will get removed if the file is opened in a newer version of Excel. Learn more: https://go.microsoft.com/fwlink/?linkid=870924
Comment:
    "We estimated a combined ROR across meta-analyses and the 95% CI by using a random-effects meta-analysis model." </t>
      </text>
    </comment>
    <comment ref="CM23" authorId="296" shapeId="0" xr:uid="{0FB016B2-70EF-4AC9-B6F5-39436C558722}">
      <text>
        <t xml:space="preserve">[Threaded comment]
Your version of Excel allows you to read this threaded comment; however, any edits to it will get removed if the file is opened in a newer version of Excel. Learn more: https://go.microsoft.com/fwlink/?linkid=870924
Comment:
    "The inconsistency across RORs was quantified using the I² statistic and the between-meta-analysis variance estimated by τ²." </t>
      </text>
    </comment>
    <comment ref="CR23" authorId="297" shapeId="0" xr:uid="{A4B02838-DA17-4603-9A63-1C40A815019E}">
      <text>
        <t xml:space="preserve">[Threaded comment]
Your version of Excel allows you to read this threaded comment; however, any edits to it will get removed if the file is opened in a newer version of Excel. Learn more: https://go.microsoft.com/fwlink/?linkid=870924
Comment:
    "We analyzed the association between each trial characteristic and the magnitude of a treatment effect using the two-step 'meta-meta-analytic' approach for meta-epidemiological analyses." </t>
      </text>
    </comment>
    <comment ref="CS23" authorId="298" shapeId="0" xr:uid="{45410A84-CF95-4179-A59B-B50C5B181A51}">
      <text>
        <t xml:space="preserve">[Threaded comment]
Your version of Excel allows you to read this threaded comment; however, any edits to it will get removed if the file is opened in a newer version of Excel. Learn more: https://go.microsoft.com/fwlink/?linkid=870924
Comment:
    "We estimated within each meta-analysis a ratio of odds ratio (ROR)... by using a random-effects meta-regression model." </t>
      </text>
    </comment>
    <comment ref="CY23" authorId="299" shapeId="0" xr:uid="{E5A9EC50-F2E6-4FA1-B8DA-C0190E9E98D5}">
      <text>
        <t xml:space="preserve">[Threaded comment]
Your version of Excel allows you to read this threaded comment; however, any edits to it will get removed if the file is opened in a newer version of Excel. Learn more: https://go.microsoft.com/fwlink/?linkid=870924
Comment:
    The authors acknowledged the potential limitation of being underpowered but did not report a formal power analysis:
"A potential explanation for the statistically nonsignificant findings in our meta-epidemiological study is the relatively small number of included meta-analyses and randomized trials." </t>
      </text>
    </comment>
    <comment ref="DD23" authorId="300" shapeId="0" xr:uid="{B66F36EC-FF46-46FC-A717-E2B57C9F748A}">
      <text>
        <t xml:space="preserve">[Threaded comment]
Your version of Excel allows you to read this threaded comment; however, any edits to it will get removed if the file is opened in a newer version of Excel. Learn more: https://go.microsoft.com/fwlink/?linkid=870924
Comment:
    Not different types, but supplementary figures (e.g., Figures S1–S13 in the Appendix) showing detailed results for each trial characteristic analyzed for associations with treatment effect estimates </t>
      </text>
    </comment>
    <comment ref="DE23" authorId="301" shapeId="0" xr:uid="{99566B31-7377-4C4F-9119-154A0911EFE8}">
      <text>
        <t>[Threaded comment]
Your version of Excel allows you to read this threaded comment; however, any edits to it will get removed if the file is opened in a newer version of Excel. Learn more: https://go.microsoft.com/fwlink/?linkid=870924
Comment:
    Table 1</t>
      </text>
    </comment>
    <comment ref="DM23" authorId="302" shapeId="0" xr:uid="{0BA38CDC-33D4-46EB-83BB-A7F44A146211}">
      <text>
        <t xml:space="preserve">[Threaded comment]
Your version of Excel allows you to read this threaded comment; however, any edits to it will get removed if the file is opened in a newer version of Excel. Learn more: https://go.microsoft.com/fwlink/?linkid=870924
Comment:
    he authors highlighted the limited number of included trials and meta-analyses as a potential limitation, suggesting a lack of diversity in the sample:
"A potential explanation for the statistically nonsignificant findings in our meta-epidemiological study is the relatively small number of included meta-analyses and randomized trials." </t>
      </text>
    </comment>
    <comment ref="DP23" authorId="303" shapeId="0" xr:uid="{13AC26A9-D275-4D76-ACBC-AF3FA40E58F1}">
      <text>
        <t xml:space="preserve">[Threaded comment]
Your version of Excel allows you to read this threaded comment; however, any edits to it will get removed if the file is opened in a newer version of Excel. Learn more: https://go.microsoft.com/fwlink/?linkid=870924
Comment:
    Since: 
"We conducted this study in accordance with a study protocol we uploaded to the Open Science Framework in April 2018 (osf.io/x9g6m)."
</t>
      </text>
    </comment>
    <comment ref="W24" authorId="304" shapeId="0" xr:uid="{2D0A1D6F-C236-5C4D-A37C-15A33F1F07AA}">
      <text>
        <t>[Threaded comment]
Your version of Excel allows you to read this threaded comment; however, any edits to it will get removed if the file is opened in a newer version of Excel. Learn more: https://go.microsoft.com/fwlink/?linkid=870924
Comment:
    We only know about a handful of included meta-analysis from the Note in tables 2 and 11, from where we derived the publication range. However they state "This step identified 101 meta-analyses to review for potential inclusion in our analysis"​.</t>
      </text>
    </comment>
    <comment ref="X24" authorId="305" shapeId="0" xr:uid="{4075EE02-54EC-FD4C-B355-3F041314FB32}">
      <text>
        <t>[Threaded comment]
Your version of Excel allows you to read this threaded comment; however, any edits to it will get removed if the file is opened in a newer version of Excel. Learn more: https://go.microsoft.com/fwlink/?linkid=870924
Comment:
    We only know about a handful of included meta-analysis from the Note in tables 2 and 11, from where we derived the publication range. However they state "This step identified 101 meta-analyses to review for potential inclusion in our analysis"​.</t>
      </text>
    </comment>
    <comment ref="AB24" authorId="306" shapeId="0" xr:uid="{A14D6455-200F-5B44-B3FF-BCDB4D544D91}">
      <text>
        <t>[Threaded comment]
Your version of Excel allows you to read this threaded comment; however, any edits to it will get removed if the file is opened in a newer version of Excel. Learn more: https://go.microsoft.com/fwlink/?linkid=870924
Comment:
    Conservatively calculated from Table 1 by summing up all k for conscientiousness. This is likely to be an underestimation of the real value.</t>
      </text>
    </comment>
    <comment ref="AC24" authorId="307" shapeId="0" xr:uid="{CB1715C4-1C70-5242-AF60-446915BA4F7F}">
      <text>
        <t>[Threaded comment]
Your version of Excel allows you to read this threaded comment; however, any edits to it will get removed if the file is opened in a newer version of Excel. Learn more: https://go.microsoft.com/fwlink/?linkid=870924
Comment:
    Conservatively calculated from Table 1 by summing up all k for conscientiousness. This is likely to be an underestimation of the real value.</t>
      </text>
    </comment>
    <comment ref="AI24" authorId="308" shapeId="0" xr:uid="{55E6C1AB-E90B-456C-ABFB-7F086CA01672}">
      <text>
        <t xml:space="preserve">[Threaded comment]
Your version of Excel allows you to read this threaded comment; however, any edits to it will get removed if the file is opened in a newer version of Excel. Learn more: https://go.microsoft.com/fwlink/?linkid=870924
Comment:
    "...containing the keywords meta-analy* (to meta-analysis and meta-analytic) in combination with other keywords such as performance, Big Five personality, and five-factor model." </t>
      </text>
    </comment>
    <comment ref="AO24" authorId="309" shapeId="0" xr:uid="{A78C7566-0BA0-4304-A7CC-D304024C3A62}">
      <text>
        <t xml:space="preserve">[Threaded comment]
Your version of Excel allows you to read this threaded comment; however, any edits to it will get removed if the file is opened in a newer version of Excel. Learn more: https://go.microsoft.com/fwlink/?linkid=870924
Comment:
    The exact designs of the primary studies within the meta-analyses are not explicitly detailed, but:
"A second-order meta-analysis allows researchers to synthesize effect sizes across multiple first-order meta-analyses across decades, countries, regions, and occupations" </t>
      </text>
    </comment>
    <comment ref="AW24" authorId="310" shapeId="0" xr:uid="{DE4C7ED6-FFCC-4AFD-9C16-831DB45DD1C4}">
      <text>
        <t xml:space="preserve">[Threaded comment]
Your version of Excel allows you to read this threaded comment; however, any edits to it will get removed if the file is opened in a newer version of Excel. Learn more: https://go.microsoft.com/fwlink/?linkid=870924
Comment:
    "For each first-order meta-analysis, we coded the corrected and uncorrected effect sizes that reflect the relations between the focal constructs, the overall sample size, the number of studies used to compute the effect sizes, and the variance for the observed correlations" </t>
      </text>
    </comment>
    <comment ref="BF24" authorId="311" shapeId="0" xr:uid="{A8F09473-A53B-4D77-9026-CB85B6744F44}">
      <text>
        <t xml:space="preserve">[Threaded comment]
Your version of Excel allows you to read this threaded comment; however, any edits to it will get removed if the file is opened in a newer version of Excel. Learn more: https://go.microsoft.com/fwlink/?linkid=870924
Comment:
    "Two authors independently coded these articles, and then met to discuss interrater discrepancies." </t>
      </text>
    </comment>
    <comment ref="BJ24" authorId="312" shapeId="0" xr:uid="{F6E74D8A-0C76-4314-8411-CF2E4CF64793}">
      <text>
        <t xml:space="preserve">[Threaded comment]
Your version of Excel allows you to read this threaded comment; however, any edits to it will get removed if the file is opened in a newer version of Excel. Learn more: https://go.microsoft.com/fwlink/?linkid=870924
Comment:
    "One critical assumption of this second-order approach is that the first-order meta-analyses are independent; that is, the first-order meta-analyses used for second-order meta-analysis should not contain overlapping primary studies … This requirement might be a difficult to satisfy in practice. Fortunately, Tracz, Elmore, and Pohlmann (1992) found that violations of independence did not change meta-analytic results such as means, standard deviations, and confidence intervals based on extensive simulations " </t>
      </text>
    </comment>
    <comment ref="CL24" authorId="313" shapeId="0" xr:uid="{59A2B866-203E-4FDC-AF8D-E67AA9DE05E2}">
      <text>
        <t xml:space="preserve">[Threaded comment]
Your version of Excel allows you to read this threaded comment; however, any edits to it will get removed if the file is opened in a newer version of Excel. Learn more: https://go.microsoft.com/fwlink/?linkid=870924
Comment:
    "Schmidt and Oh (2013) method also estimates between-meta-analysis variance (i.e., true variance); it allows us to quantify and separate second-order sampling error and true variance across first-order meta-analyses" </t>
      </text>
    </comment>
    <comment ref="CR24" authorId="314" shapeId="0" xr:uid="{9391B878-246F-4667-9FAB-AC671D5D8284}">
      <text>
        <t>[Threaded comment]
Your version of Excel allows you to read this threaded comment; however, any edits to it will get removed if the file is opened in a newer version of Excel. Learn more: https://go.microsoft.com/fwlink/?linkid=870924
Comment:
    "The current paper therefore evaluates variability across different meta-analyses and tests for key moderators (i.e., performance criteria, sources of ratings, and context)"</t>
      </text>
    </comment>
    <comment ref="DE24" authorId="315" shapeId="0" xr:uid="{289FFCF2-5584-4929-AD1C-5BAF9F85DB44}">
      <text>
        <t>[Threaded comment]
Your version of Excel allows you to read this threaded comment; however, any edits to it will get removed if the file is opened in a newer version of Excel. Learn more: https://go.microsoft.com/fwlink/?linkid=870924
Comment:
    Table 1 and other tables give some information, but not a overview of the included meta analysis.</t>
      </text>
    </comment>
    <comment ref="DM24" authorId="316" shapeId="0" xr:uid="{A67E9E59-A71B-4222-95EC-CDAB48E928D1}">
      <text>
        <t xml:space="preserve">[Threaded comment]
Your version of Excel allows you to read this threaded comment; however, any edits to it will get removed if the file is opened in a newer version of Excel. Learn more: https://go.microsoft.com/fwlink/?linkid=870924
Comment:
    "In terms of culture, there is a need for more data to evaluate how FFM attributes relate to job outcomes in more diverse settings" </t>
      </text>
    </comment>
    <comment ref="AB25" authorId="317" shapeId="0" xr:uid="{E83A95F6-ECBE-44C4-AC77-88A5184B23E4}">
      <text>
        <t>[Threaded comment]
Your version of Excel allows you to read this threaded comment; however, any edits to it will get removed if the file is opened in a newer version of Excel. Learn more: https://go.microsoft.com/fwlink/?linkid=870924
Comment:
    Our study included 18 systematic reviews (with or without meta-analysis), amounting to 99 original studies, 98 RCTs and 1 CCT (included by Kho et al., 2014), with a total of 3212 participants. - Also 8 meta-anaysis but 18 systematic reviews</t>
      </text>
    </comment>
    <comment ref="BI25" authorId="318" shapeId="0" xr:uid="{FF649E9B-26F4-4EAE-BF07-B25F41F743A4}">
      <text>
        <t>[Threaded comment]
Your version of Excel allows you to read this threaded comment; however, any edits to it will get removed if the file is opened in a newer version of Excel. Learn more: https://go.microsoft.com/fwlink/?linkid=870924
Comment:
    (for quality and RoB), not reported for coding</t>
      </text>
    </comment>
    <comment ref="BI26" authorId="319" shapeId="0" xr:uid="{C46EC09A-489E-44E0-BDE3-2E6353E87420}">
      <text>
        <t xml:space="preserve">[Threaded comment]
Your version of Excel allows you to read this threaded comment; however, any edits to it will get removed if the file is opened in a newer version of Excel. Learn more: https://go.microsoft.com/fwlink/?linkid=870924
Comment:
    The original values indicate that 33.33% was applied for study information and 50% for quality rating. To provide a more comprehensive estimate, we have averaged these values, resulting in an overall rate of 41.67%. </t>
      </text>
    </comment>
    <comment ref="AH27" authorId="320" shapeId="0" xr:uid="{8A2AC439-D646-4BC8-9E2F-1A178468345E}">
      <text>
        <t xml:space="preserve">[Threaded comment]
Your version of Excel allows you to read this threaded comment; however, any edits to it will get removed if the file is opened in a newer version of Excel. Learn more: https://go.microsoft.com/fwlink/?linkid=870924
Comment:
    "This review included all first-order meta-analyses that met the following criteria" </t>
      </text>
    </comment>
    <comment ref="AM27" authorId="321" shapeId="0" xr:uid="{85E259FE-3B35-410A-9950-C452CE67C1CD}">
      <text>
        <t>[Threaded comment]
Your version of Excel allows you to read this threaded comment; however, any edits to it will get removed if the file is opened in a newer version of Excel. Learn more: https://go.microsoft.com/fwlink/?linkid=870924
Comment:
    Four raters participated… but not said how much included?</t>
      </text>
    </comment>
    <comment ref="AW27" authorId="322" shapeId="0" xr:uid="{90429723-B4F9-45D1-AD08-2E59C9C0F2B9}">
      <text>
        <t xml:space="preserve">[Threaded comment]
Your version of Excel allows you to read this threaded comment; however, any edits to it will get removed if the file is opened in a newer version of Excel. Learn more: https://go.microsoft.com/fwlink/?linkid=870924
Comment:
    "The meta-analyses reported their results as Cohen’s d, the correlation coefficient r, Glass’s Δ, or Hedges’s g" 
Reply:
    The meta-analyses reported their results as Cohen’s d, the correlation coefficient r, Glass’s Δ, or Hedges’s g. We used formulas presented in Borenstein et al. (2009) and Rosenthal and DiMatteo (2001) to convert first-order effect sizes to Cohen’s d. To describe our findings, we use the generic term standardized mean difference (SMD) instead of Cohen’s d to account for the different metrics in the primary meta-analyses. </t>
      </text>
    </comment>
    <comment ref="CS27" authorId="323" shapeId="0" xr:uid="{B516CAD3-56D9-4CEF-B2D3-9E11E61C4BD3}">
      <text>
        <t xml:space="preserve">[Threaded comment]
Your version of Excel allows you to read this threaded comment; however, any edits to it will get removed if the file is opened in a newer version of Excel. Learn more: https://go.microsoft.com/fwlink/?linkid=870924
Comment:
    The authors calculated and interpreted the mean effect size for each subgroup based on different moderator variables such as outcomes (e.g., academic success, attitude, thinking skills), constructivist learning models (e.g., problem-based learning, inquiry-based learning), location, quality level, and report type. They also used Q between tests to examine whether the mean effect sizes significantly varied across moderator variables. </t>
      </text>
    </comment>
    <comment ref="DE27" authorId="324" shapeId="0" xr:uid="{E433006D-BDF8-41ED-AFAE-0FC96A64591B}">
      <text>
        <t xml:space="preserve">[Threaded comment]
Your version of Excel allows you to read this threaded comment; however, any edits to it will get removed if the file is opened in a newer version of Excel. Learn more: https://go.microsoft.com/fwlink/?linkid=870924
Comment:
    In supplementary </t>
      </text>
    </comment>
    <comment ref="DF27" authorId="325" shapeId="0" xr:uid="{F5670B58-D889-4257-BDDE-2C314A08949F}">
      <text>
        <t xml:space="preserve">[Threaded comment]
Your version of Excel allows you to read this threaded comment; however, any edits to it will get removed if the file is opened in a newer version of Excel. Learn more: https://go.microsoft.com/fwlink/?linkid=870924
Comment:
    The results are summarized in Supplemental Tables S5–S10 </t>
      </text>
    </comment>
    <comment ref="DG27" authorId="326" shapeId="0" xr:uid="{EF16CA8D-E6C1-4417-B28D-8284BB95A90B}">
      <text>
        <t>[Threaded comment]
Your version of Excel allows you to read this threaded comment; however, any edits to it will get removed if the file is opened in a newer version of Excel. Learn more: https://go.microsoft.com/fwlink/?linkid=870924
Comment:
    The definitions of the moderators are provided in Supplemental Table S4 and Table 2</t>
      </text>
    </comment>
    <comment ref="DH27" authorId="327" shapeId="0" xr:uid="{CACDDA1F-DC53-4D48-BB3C-5F649FC17E68}">
      <text>
        <t>[Threaded comment]
Your version of Excel allows you to read this threaded comment; however, any edits to it will get removed if the file is opened in a newer version of Excel. Learn more: https://go.microsoft.com/fwlink/?linkid=870924
Comment:
    Reported in Table S5</t>
      </text>
    </comment>
    <comment ref="DN27" authorId="328" shapeId="0" xr:uid="{5A9A7348-E60B-8840-A3B4-DF0BE19AEC2C}">
      <text>
        <t>[Threaded comment]
Your version of Excel allows you to read this threaded comment; however, any edits to it will get removed if the file is opened in a newer version of Excel. Learn more: https://go.microsoft.com/fwlink/?linkid=870924
Comment:
    We can focus more narrowly on methodological future reserach, namely, research in meta-meta-analyses: what do the authors suggest future meta-meta-analyses should do methodologically?</t>
      </text>
    </comment>
    <comment ref="AB28" authorId="329" shapeId="0" xr:uid="{6FCB586C-6EA6-42AA-B390-D08D957935DB}">
      <text>
        <t xml:space="preserve">[Threaded comment]
Your version of Excel allows you to read this threaded comment; however, any edits to it will get removed if the file is opened in a newer version of Excel. Learn more: https://go.microsoft.com/fwlink/?linkid=870924
Comment:
    “This resulted in a total of 8 studies representing approximately 209 primary studies and 31,104 participants being included in our analysis.” 
“In total, 15 meta-analyses representing approximately 889 primary studies and 2,241,516 participants were included in our analysis.”
</t>
      </text>
    </comment>
    <comment ref="AC28" authorId="330" shapeId="0" xr:uid="{D64A47BF-ABE2-5B4E-9FE0-1407ACFD14D3}">
      <text>
        <t>[Threaded comment]
Your version of Excel allows you to read this threaded comment; however, any edits to it will get removed if the file is opened in a newer version of Excel. Learn more: https://go.microsoft.com/fwlink/?linkid=870924
Comment:
    2241516 + 31104 = 2272620 participants.</t>
      </text>
    </comment>
    <comment ref="AD28" authorId="331" shapeId="0" xr:uid="{DC090D89-C032-1E43-B8FA-4483709CF972}">
      <text>
        <t xml:space="preserve">[Threaded comment]
Your version of Excel allows you to read this threaded comment; however, any edits to it will get removed if the file is opened in a newer version of Excel. Learn more: https://go.microsoft.com/fwlink/?linkid=870924
Comment:
    "...examined the impact of parental involvement on student academic achievement for school-age children (grades K-12) in naturally occurring and intervention studies." </t>
      </text>
    </comment>
    <comment ref="AG28" authorId="332" shapeId="0" xr:uid="{C0835AFC-D3DE-491E-87BC-98468089AC0B}">
      <text>
        <t xml:space="preserve">[Threaded comment]
Your version of Excel allows you to read this threaded comment; however, any edits to it will get removed if the file is opened in a newer version of Excel. Learn more: https://go.microsoft.com/fwlink/?linkid=870924
Comment:
    "We limited our search to published journal articles and were unable to include unpublished or inaccessible articles." </t>
      </text>
    </comment>
    <comment ref="AH28" authorId="333" shapeId="0" xr:uid="{47F57F69-D5DB-4354-AC37-CF33A3764D3D}">
      <text>
        <t xml:space="preserve">[Threaded comment]
Your version of Excel allows you to read this threaded comment; however, any edits to it will get removed if the file is opened in a newer version of Excel. Learn more: https://go.microsoft.com/fwlink/?linkid=870924
Comment:
    "A systematic search of published journal articles, chapters, and reports of first order meta-analyses about parental involvement and achievement was conducted without imposing time limits." </t>
      </text>
    </comment>
    <comment ref="AN28" authorId="334" shapeId="0" xr:uid="{A5286BAE-146B-436B-94DF-F2CA476C2098}">
      <text>
        <t xml:space="preserve">[Threaded comment]
Your version of Excel allows you to read this threaded comment; however, any edits to it will get removed if the file is opened in a newer version of Excel. Learn more: https://go.microsoft.com/fwlink/?linkid=870924
Comment:
    "Studies on parental involvement have either focused on (1) the relation between naturally occurring parental involvement and academic outcomes..." 
"...meta-analyses of parental involvement interventions targeting student achievement (e.g., homework training, reading/literacy programs)... including randomized control trials only." 
</t>
      </text>
    </comment>
    <comment ref="AW28" authorId="335" shapeId="0" xr:uid="{3B7F2AAD-7E8C-4DDD-965D-8D3D51B56FCA}">
      <text>
        <t xml:space="preserve">[Threaded comment]
Your version of Excel allows you to read this threaded comment; however, any edits to it will get removed if the file is opened in a newer version of Excel. Learn more: https://go.microsoft.com/fwlink/?linkid=870924
Comment:
    "We calculated the corresponding Pearson’s r index and Hedges’ g index for each study, and converted the latter into an r index (weighted by the inverse of its variance)." </t>
      </text>
    </comment>
    <comment ref="BF28" authorId="336" shapeId="0" xr:uid="{E9336AD4-E0CE-440A-B8F0-FF5295B06EB1}">
      <text>
        <t xml:space="preserve">[Threaded comment]
Your version of Excel allows you to read this threaded comment; however, any edits to it will get removed if the file is opened in a newer version of Excel. Learn more: https://go.microsoft.com/fwlink/?linkid=870924
Comment:
    "Two independent coders coded for each variable." </t>
      </text>
    </comment>
    <comment ref="BJ28" authorId="337" shapeId="0" xr:uid="{C247F274-2AE3-4EE5-A1E2-AC90E4C4CBD8}">
      <text>
        <t xml:space="preserve">[Threaded comment]
Your version of Excel allows you to read this threaded comment; however, any edits to it will get removed if the file is opened in a newer version of Excel. Learn more: https://go.microsoft.com/fwlink/?linkid=870924
Comment:
    "We found that our total sample of meta-analyses included a total of 908 primary studies for correlational studies and 269 primary studies for intervention studies. The total number of overlapping studies was 204 (22%) for correlational studies and 51 (19%) for intervention studies." </t>
      </text>
    </comment>
    <comment ref="BL28" authorId="338" shapeId="0" xr:uid="{3EEFCBC9-BF3F-4E70-9372-9E622004576F}">
      <text>
        <t>[Threaded comment]
Your version of Excel allows you to read this threaded comment; however, any edits to it will get removed if the file is opened in a newer version of Excel. Learn more: https://go.microsoft.com/fwlink/?linkid=870924
Comment:
    “We found that two particular correlational meta-analytic studies presented an overlap over 26% (Fan &amp; Chen, 2001; Jeynes, 2007), but decided to keep both studies due to the small number of other studies. We note that although 5 meta-analyses were conducted by the same author (Jeynes, 2003, 2005, 2007, 2016, 2017), the overlap across studies did not exceed 25% so we retained those studies in the final analyses.”</t>
      </text>
    </comment>
    <comment ref="BS28" authorId="339" shapeId="0" xr:uid="{9A1A026D-790D-4FE3-8859-91B1110C4635}">
      <text>
        <t xml:space="preserve">[Threaded comment]
Your version of Excel allows you to read this threaded comment; however, any edits to it will get removed if the file is opened in a newer version of Excel. Learn more: https://go.microsoft.com/fwlink/?linkid=870924
Comment:
    "We calculated the corresponding Pearson’s r index and Hedges’ g index for each study, and converted the latter into an r index (weighted by the inverse of its variance) to provide comparable estimates." </t>
      </text>
    </comment>
    <comment ref="CB28" authorId="340" shapeId="0" xr:uid="{269CF998-5AC6-41A5-9BA3-38DF1AE26D70}">
      <text>
        <t xml:space="preserve">[Threaded comment]
Your version of Excel allows you to read this threaded comment; however, any edits to it will get removed if the file is opened in a newer version of Excel. Learn more: https://go.microsoft.com/fwlink/?linkid=870924
Comment:
    The paper explicitly discusses that older meta-analyses tended to report larger effect sizes, while newer studies provided more conservative estimates due to advancements in statistical methodologies. This indicates that attenuation was a consideration in the synthesis of results. 
"Older meta-analytic studies report stronger effect sizes as statistical methodology has evolved and provided increasingly better methodological tools yielding conservative estimates." </t>
      </text>
    </comment>
    <comment ref="CF28" authorId="341" shapeId="0" xr:uid="{13DC1CC8-64E6-44F8-8238-B68E1832C0F1}">
      <text>
        <t xml:space="preserve">[Threaded comment]
Your version of Excel allows you to read this threaded comment; however, any edits to it will get removed if the file is opened in a newer version of Excel. Learn more: https://go.microsoft.com/fwlink/?linkid=870924
Comment:
    "The funnel plot suggests imputing one effect size to the left of the mean under the random-effects model in a negative direction, with an adjusted effect size of 0.17 (0.14, 0.21)." </t>
      </text>
    </comment>
    <comment ref="CS28" authorId="342" shapeId="0" xr:uid="{56C19F17-A9E2-4F89-A266-86314C3430E8}">
      <text>
        <t xml:space="preserve">[Threaded comment]
Your version of Excel allows you to read this threaded comment; however, any edits to it will get removed if the file is opened in a newer version of Excel. Learn more: https://go.microsoft.com/fwlink/?linkid=870924
Comment:
    "We first examined the key moderator variable type of parental involvement (school, home, and academic socialization) using a mixed-effects model to explore variability." </t>
      </text>
    </comment>
    <comment ref="DA28" authorId="343" shapeId="0" xr:uid="{1C52E949-B69C-4646-AA9D-5FCE34B0B45F}">
      <text>
        <t>[Threaded comment]
Your version of Excel allows you to read this threaded comment; however, any edits to it will get removed if the file is opened in a newer version of Excel. Learn more: https://go.microsoft.com/fwlink/?linkid=870924
Comment:
    Figure 1</t>
      </text>
    </comment>
    <comment ref="DE28" authorId="344" shapeId="0" xr:uid="{B7284E4D-4BFB-41CB-93B3-6E71427B9045}">
      <text>
        <t>[Threaded comment]
Your version of Excel allows you to read this threaded comment; however, any edits to it will get removed if the file is opened in a newer version of Excel. Learn more: https://go.microsoft.com/fwlink/?linkid=870924
Comment:
    Tablr 1A and 1B</t>
      </text>
    </comment>
    <comment ref="DF28" authorId="345" shapeId="0" xr:uid="{E5B79663-4AB6-4346-A841-BE0608E736DD}">
      <text>
        <t xml:space="preserve">[Threaded comment]
Your version of Excel allows you to read this threaded comment; however, any edits to it will get removed if the file is opened in a newer version of Excel. Learn more: https://go.microsoft.com/fwlink/?linkid=870924
Comment:
    Table 2A and 2B </t>
      </text>
    </comment>
    <comment ref="DM28" authorId="346" shapeId="0" xr:uid="{AFA4E3D2-D8DF-4329-BC44-279CF5CB4975}">
      <text>
        <t xml:space="preserve">[Threaded comment]
Your version of Excel allows you to read this threaded comment; however, any edits to it will get removed if the file is opened in a newer version of Excel. Learn more: https://go.microsoft.com/fwlink/?linkid=870924
Comment:
    "The current frameworks of PI are drawn from European American models of parental involvement because they have been driving most of the research on parental involvement up to date." </t>
      </text>
    </comment>
    <comment ref="W29" authorId="347" shapeId="0" xr:uid="{AE8D9ABC-A387-4449-BEE1-1C716A3E2B5F}">
      <text>
        <t>[Threaded comment]
Your version of Excel allows you to read this threaded comment; however, any edits to it will get removed if the file is opened in a newer version of Excel. Learn more: https://go.microsoft.com/fwlink/?linkid=870924
Comment:
    The paper states "Using a database of effect sizes from previous systematic reviews that investigated the effects of correctional interventions for juveniles during the last 30 years (1980–2010)." 
However, in table 2 1984-2006 is the gap.</t>
      </text>
    </comment>
    <comment ref="AE29" authorId="348" shapeId="0" xr:uid="{8570C67D-CE46-416B-B184-2DE23952B195}">
      <text>
        <t xml:space="preserve">[Threaded comment]
Your version of Excel allows you to read this threaded comment; however, any edits to it will get removed if the file is opened in a newer version of Excel. Learn more: https://go.microsoft.com/fwlink/?linkid=870924
Comment:
    "Studies had to originate in the USA or a substantially similar English-speaking country (e.g., Canada, the UK, and Australia) and had to be reported in English." </t>
      </text>
    </comment>
    <comment ref="AG29" authorId="349" shapeId="0" xr:uid="{2DB4CB40-273D-4EEB-A45D-A6637BB908CD}">
      <text>
        <t xml:space="preserve">[Threaded comment]
Your version of Excel allows you to read this threaded comment; however, any edits to it will get removed if the file is opened in a newer version of Excel. Learn more: https://go.microsoft.com/fwlink/?linkid=870924
Comment:
    "The procedures for generating this bibliography included no restrictions according to type of report or nature of publication. Thus, books, technical reports, conference papers, theses, and dissertations, as well as published journal articles, were included." </t>
      </text>
    </comment>
    <comment ref="AO29" authorId="350" shapeId="0" xr:uid="{63092EBD-C28A-4BDB-BCE0-36201E55B807}">
      <text>
        <t xml:space="preserve">[Threaded comment]
Your version of Excel allows you to read this threaded comment; however, any edits to it will get removed if the file is opened in a newer version of Excel. Learn more: https://go.microsoft.com/fwlink/?linkid=870924
Comment:
    Randomized Controlled Trials (RCTs): "The strongest designs assign comparatively large numbers of offenders randomly to intervention and control conditions." 
Quasi-experimental designs: 
"The meta-analyses ... provide a breakdown of the mean effect size for different design categories, typically random versus nonrandom assignment." 
One-group pre-and-post designs: 
"...sometimes, one-group pre-and-post designs as well." </t>
      </text>
    </comment>
    <comment ref="AW29" authorId="351" shapeId="0" xr:uid="{AAEC8066-8250-4621-A607-3FC442458FEE}">
      <text>
        <t xml:space="preserve">[Threaded comment]
Your version of Excel allows you to read this threaded comment; however, any edits to it will get removed if the file is opened in a newer version of Excel. Learn more: https://go.microsoft.com/fwlink/?linkid=870924
Comment:
    "To facilitate comparison, the current study converted the reported mean effect sizes to phi coefficients when some other effect size statistic was used by the analyst." </t>
      </text>
    </comment>
    <comment ref="BF29" authorId="352" shapeId="0" xr:uid="{CA864075-95FE-4520-AEE5-D1AFE83A34E7}">
      <text>
        <t xml:space="preserve">[Threaded comment]
Your version of Excel allows you to read this threaded comment; however, any edits to it will get removed if the file is opened in a newer version of Excel. Learn more: https://go.microsoft.com/fwlink/?linkid=870924
Comment:
    "All coding operations were done by the primary author using predefined coding categories." </t>
      </text>
    </comment>
    <comment ref="BN29" authorId="353" shapeId="0" xr:uid="{8D42E8C9-71AD-4220-B39F-ECB129F5C4BA}">
      <text>
        <t xml:space="preserve">[Threaded comment]
Your version of Excel allows you to read this threaded comment; however, any edits to it will get removed if the file is opened in a newer version of Excel. Learn more: https://go.microsoft.com/fwlink/?linkid=870924
Comment:
    While the authors discuss methodological issues and categorize studies based on design, there is no explicit coding of methodological quality. 
"The strongest designs assign comparatively large numbers of offenders randomly to intervention and control conditions" </t>
      </text>
    </comment>
    <comment ref="CW29" authorId="354" shapeId="0" xr:uid="{70453C13-9002-421C-8B58-207352C32485}">
      <text>
        <t xml:space="preserve">[Threaded comment]
Your version of Excel allows you to read this threaded comment; however, any edits to it will get removed if the file is opened in a newer version of Excel. Learn more: https://go.microsoft.com/fwlink/?linkid=870924
Comment:
    Sensitivity analysis was implied when they compared the results of studies using robust designs versus less rigorous designs. 
"The grand mean effect size for the subset of studies which only included control/comparison designs in meta-analyses is negative (-0.03) and, indeed, similar to the mean for all the studies together" </t>
      </text>
    </comment>
    <comment ref="DD29" authorId="355" shapeId="0" xr:uid="{8921B03A-DB03-42FC-BE78-850AFD3477F2}">
      <text>
        <t xml:space="preserve">[Threaded comment]
Your version of Excel allows you to read this threaded comment; however, any edits to it will get removed if the file is opened in a newer version of Excel. Learn more: https://go.microsoft.com/fwlink/?linkid=870924
Comment:
    Figure 1 to 4 give different Distribution of mean effect sizes </t>
      </text>
    </comment>
    <comment ref="DE29" authorId="356" shapeId="0" xr:uid="{E7D8B372-E4E3-4278-8130-424D4B3F3E11}">
      <text>
        <t>[Threaded comment]
Your version of Excel allows you to read this threaded comment; however, any edits to it will get removed if the file is opened in a newer version of Excel. Learn more: https://go.microsoft.com/fwlink/?linkid=870924
Comment:
    Table 2</t>
      </text>
    </comment>
    <comment ref="DF29" authorId="357" shapeId="0" xr:uid="{BBEC60A6-10F1-4BE3-A029-D2407C14E50A}">
      <text>
        <t>[Threaded comment]
Your version of Excel allows you to read this threaded comment; however, any edits to it will get removed if the file is opened in a newer version of Excel. Learn more: https://go.microsoft.com/fwlink/?linkid=870924
Comment:
    Table 3</t>
      </text>
    </comment>
    <comment ref="DM29" authorId="358" shapeId="0" xr:uid="{17DB24F1-8267-4A3E-8084-347FB9F7112B}">
      <text>
        <t xml:space="preserve">[Threaded comment]
Your version of Excel allows you to read this threaded comment; however, any edits to it will get removed if the file is opened in a newer version of Excel. Learn more: https://go.microsoft.com/fwlink/?linkid=870924
Comment:
    They dont discuss lack of diversity, but mentions that they limited the sample to studies from specific cultural and geographic contexts: 
"To maintain some homogeneity in cultural context and social meaning of crime, studies had to originate in the USA or a substantially similar English-speaking country (e.g., Canada, the UK and Australia)" </t>
      </text>
    </comment>
    <comment ref="AD30" authorId="359" shapeId="0" xr:uid="{C14CCE6A-CBB4-4864-AA6B-AAAA7175D546}">
      <text>
        <t xml:space="preserve">[Threaded comment]
Your version of Excel allows you to read this threaded comment; however, any edits to it will get removed if the file is opened in a newer version of Excel. Learn more: https://go.microsoft.com/fwlink/?linkid=870924
Comment:
    Participants. Meta-analyses were included regardless age, sex, and race/ethnicity. </t>
      </text>
    </comment>
    <comment ref="AE30" authorId="360" shapeId="0" xr:uid="{C6132ADA-074D-4FC5-90CA-82E11117CBAF}">
      <text>
        <t xml:space="preserve">[Threaded comment]
Your version of Excel allows you to read this threaded comment; however, any edits to it will get removed if the file is opened in a newer version of Excel. Learn more: https://go.microsoft.com/fwlink/?linkid=870924
Comment:
    "Meta-analyses not published in English were excluded." </t>
      </text>
    </comment>
    <comment ref="AG30" authorId="361" shapeId="0" xr:uid="{FDE50E6D-FB8E-4555-A695-B3224358B6D6}">
      <text>
        <t xml:space="preserve">[Threaded comment]
Your version of Excel allows you to read this threaded comment; however, any edits to it will get removed if the file is opened in a newer version of Excel. Learn more: https://go.microsoft.com/fwlink/?linkid=870924
Comment:
    "...and by examining reference lists of included meta-analyses. Unpublished meta-analyses were identified by searching ProQuest Dissertations and Theses Global." </t>
      </text>
    </comment>
    <comment ref="AJ30" authorId="362" shapeId="0" xr:uid="{4D19D44B-94CC-4C7B-9883-F118F795DEEB}">
      <text>
        <t>[Threaded comment]
Your version of Excel allows you to read this threaded comment; however, any edits to it will get removed if the file is opened in a newer version of Excel. Learn more: https://go.microsoft.com/fwlink/?linkid=870924
Comment:
    “The first author and a trained undergraduate student independently evaluated each meta-analysis for fit. Discrepancies were resolved by the first author. “</t>
      </text>
    </comment>
    <comment ref="AO30" authorId="363" shapeId="0" xr:uid="{84EDC1D3-3918-8043-8D15-9A88BE48A2EA}">
      <text>
        <t>[Threaded comment]
Your version of Excel allows you to read this threaded comment; however, any edits to it will get removed if the file is opened in a newer version of Excel. Learn more: https://go.microsoft.com/fwlink/?linkid=870924
Comment:
    The types of primary study designs included in the meta-analyses are not explicitly listed in the paper. However, based on the nature of the studies reviewed (assessing associations between SES and behavior problems), the designs might be these.</t>
      </text>
    </comment>
    <comment ref="AW30" authorId="364" shapeId="0" xr:uid="{A52A11BD-F059-4800-89B9-74568D2ED037}">
      <text>
        <t>[Threaded comment]
Your version of Excel allows you to read this threaded comment; however, any edits to it will get removed if the file is opened in a newer version of Excel. Learn more: https://go.microsoft.com/fwlink/?linkid=870924
Comment:
     "We coded Pearson’s r (50% of extracted meta-analytic effects) … , Cohen’s d (17%), Hedges’ g (8%), or odds ratio (25%)."</t>
      </text>
    </comment>
    <comment ref="BE30" authorId="365" shapeId="0" xr:uid="{B54238BC-71D7-4D9D-8240-7647C9833F65}">
      <text>
        <t xml:space="preserve">[Threaded comment]
Your version of Excel allows you to read this threaded comment; however, any edits to it will get removed if the file is opened in a newer version of Excel. Learn more: https://go.microsoft.com/fwlink/?linkid=870924
Comment:
    "...using the inclusion and exclusion criteria (below) in Rayyan QCRI." </t>
      </text>
    </comment>
    <comment ref="BF30" authorId="366" shapeId="0" xr:uid="{6628DB07-7DAE-4D3A-9AD8-8FF736A13782}">
      <text>
        <t xml:space="preserve">[Threaded comment]
Your version of Excel allows you to read this threaded comment; however, any edits to it will get removed if the file is opened in a newer version of Excel. Learn more: https://go.microsoft.com/fwlink/?linkid=870924
Comment:
    "The first author extracted effect sizes and other variables... One trained graduate and one undergraduate student independently coded a subset of articles so that each included meta-analysis was coded twice." </t>
      </text>
    </comment>
    <comment ref="BG30" authorId="367" shapeId="0" xr:uid="{2DC31213-FC12-402B-8183-88412B7AE90E}">
      <text>
        <t>[Threaded comment]
Your version of Excel allows you to read this threaded comment; however, any edits to it will get removed if the file is opened in a newer version of Excel. Learn more: https://go.microsoft.com/fwlink/?linkid=870924
Comment:
    ”Complete agreement on coding was reached by cross-referencing effect sizes and relative characteristics between all coders. ”</t>
      </text>
    </comment>
    <comment ref="BS30" authorId="368" shapeId="0" xr:uid="{C609202D-F14F-42F6-9297-4CC5F61DC630}">
      <text>
        <t>[Threaded comment]
Your version of Excel allows you to read this threaded comment; however, any edits to it will get removed if the file is opened in a newer version of Excel. Learn more: https://go.microsoft.com/fwlink/?linkid=870924
Comment:
    "To compute each weighted average, we used a random-effects meta-analytic approach by weighting each effect size by its corresponding inverse standard error that includes both within (v) and between (τ²) study variability." 
"Each effect size was transformed to Fisher’s Z to compute the random-effects average... Effect sizes and CI estimates were reverse-transformed (Zr to r) for interpretation." 
"We argue that weighted averages provide a more accurate estimate of the mean association because studies with less standard error (i.e., more precision) are given more weight." 
”To address our first research question, we aggregated effect sizes according to the component of socioeconomic status separately for internalizing and externalizing ”</t>
      </text>
    </comment>
    <comment ref="BT30" authorId="369" shapeId="0" xr:uid="{1E1D50AB-2203-4E0D-9DDB-5625AD1357CC}">
      <text>
        <t xml:space="preserve">[Threaded comment]
Your version of Excel allows you to read this threaded comment; however, any edits to it will get removed if the file is opened in a newer version of Excel. Learn more: https://go.microsoft.com/fwlink/?linkid=870924
Comment:
    "To compute each weighted average, we used a random-effects meta-analytic approach by weighting each effect size by its corresponding inverse standard error that includes both within (v) and between (τ²) study variability." </t>
      </text>
    </comment>
    <comment ref="CC30" authorId="370" shapeId="0" xr:uid="{57444C49-8833-487A-801A-D11D66628934}">
      <text>
        <t xml:space="preserve">[Threaded comment]
Your version of Excel allows you to read this threaded comment; however, any edits to it will get removed if the file is opened in a newer version of Excel. Learn more: https://go.microsoft.com/fwlink/?linkid=870924
Comment:
    "For each moderator analysis, we only included one effect size from each meta-analysis to avoid comparing dependent effect sizes." </t>
      </text>
    </comment>
    <comment ref="CM30" authorId="371" shapeId="0" xr:uid="{4FAA09B2-D55A-4F52-9610-1DAA29806A51}">
      <text>
        <t xml:space="preserve">[Threaded comment]
Your version of Excel allows you to read this threaded comment; however, any edits to it will get removed if the file is opened in a newer version of Excel. Learn more: https://go.microsoft.com/fwlink/?linkid=870924
Comment:
    "We report an index of heterogeneity (I²) and estimated population variance (τ²) of the overall weighted associations." </t>
      </text>
    </comment>
    <comment ref="CS30" authorId="372" shapeId="0" xr:uid="{97DD87FB-E425-4850-8AF2-21FAFFB87304}">
      <text>
        <t xml:space="preserve">[Threaded comment]
Your version of Excel allows you to read this threaded comment; however, any edits to it will get removed if the file is opened in a newer version of Excel. Learn more: https://go.microsoft.com/fwlink/?linkid=870924
Comment:
    Subgroup Analysis by Age, Sex, and Race/Ethnicity:
"We examined if the magnitude of association between each component of socioeconomic status and behavior problems varied by the age range of the meta-analytic sample (e.g., children, adolescents, and adults), sex composition, and racial/ethnic composition." 
Q-test-based categorical comparisons:
"To assess if age, sex, and race/ethnicity moderated the magnitude of association between components of socioeconomic status and behavior problems, we followed meta-analytic techniques of categorical comparisons using the Q test based analysis of variance with random effects." 
</t>
      </text>
    </comment>
    <comment ref="DA30" authorId="373" shapeId="0" xr:uid="{23B53D05-7507-42EE-ACF1-BCA62BD38A40}">
      <text>
        <t>[Threaded comment]
Your version of Excel allows you to read this threaded comment; however, any edits to it will get removed if the file is opened in a newer version of Excel. Learn more: https://go.microsoft.com/fwlink/?linkid=870924
Comment:
    Figure 1</t>
      </text>
    </comment>
    <comment ref="DC30" authorId="374" shapeId="0" xr:uid="{A9A6AC01-3417-473E-AFFB-5141D79B2843}">
      <text>
        <t>[Threaded comment]
Your version of Excel allows you to read this threaded comment; however, any edits to it will get removed if the file is opened in a newer version of Excel. Learn more: https://go.microsoft.com/fwlink/?linkid=870924
Comment:
    Figure 2</t>
      </text>
    </comment>
    <comment ref="DE30" authorId="375" shapeId="0" xr:uid="{D7ED290B-18B5-4379-9895-A3047EE3E7EF}">
      <text>
        <t>[Threaded comment]
Your version of Excel allows you to read this threaded comment; however, any edits to it will get removed if the file is opened in a newer version of Excel. Learn more: https://go.microsoft.com/fwlink/?linkid=870924
Comment:
    Table 1</t>
      </text>
    </comment>
    <comment ref="DK30" authorId="376" shapeId="0" xr:uid="{91F52F80-D13F-4D13-9DA9-BAB2DA7A3A4D}">
      <text>
        <t xml:space="preserve">[Threaded comment]
Your version of Excel allows you to read this threaded comment; however, any edits to it will get removed if the file is opened in a newer version of Excel. Learn more: https://go.microsoft.com/fwlink/?linkid=870924
Comment:
    "We preregistered this study on Open Science Framework (https://osf.io/2e8kc/) on March 23, 2018, before conducting analyses, to embrace best research practices." </t>
      </text>
    </comment>
    <comment ref="DL30" authorId="377" shapeId="0" xr:uid="{047E88D0-A09F-4613-A30E-110B93C571A8}">
      <text>
        <t xml:space="preserve">[Threaded comment]
Your version of Excel allows you to read this threaded comment; however, any edits to it will get removed if the file is opened in a newer version of Excel. Learn more: https://go.microsoft.com/fwlink/?linkid=870924
Comment:
    In the discussion, the authors acknowledge that the high degree of abstraction in their SOMA, due to averaging across components like income, education, and occupation, may obscure specific mechanisms and nuanced effects of these components on behavior problems. 
"Second-order meta-analysis can facilitate this accumulation because it averages across meta-analytic effects to provide the most comprehensive estimate of an association." 
"Composite indices present a conundrum. On one hand, a negative association between indices of socioeconomic status and certain behavior problems may reflect a type of higher order effect of resources (or deficits) connected to power and prestige. On the other hand, indices of socioeconomic status may obscure more specific lower order effects linked to a particular component." 
“Determining the more precise connections between behavior problems, socioeconomic status, and its components, thus, becomes critical if one is to effectively target prevention and intervention efforts. It is best practice to examine components independently as well as collectively”
</t>
      </text>
    </comment>
    <comment ref="DM30" authorId="378" shapeId="0" xr:uid="{992A241C-9545-4B93-9826-CF08148720EE}">
      <text>
        <t>[Threaded comment]
Your version of Excel allows you to read this threaded comment; however, any edits to it will get removed if the file is opened in a newer version of Excel. Learn more: https://go.microsoft.com/fwlink/?linkid=870924
Comment:
    ”we could not test moderation by race/ ethnicity”
”Considering culture in future research is also important in light of findings showing an increased prevalence of depression for Whites”</t>
      </text>
    </comment>
    <comment ref="DP30" authorId="379" shapeId="0" xr:uid="{FDF7FB91-6190-4435-874F-C37CC72A3DE4}">
      <text>
        <t>[Threaded comment]
Your version of Excel allows you to read this threaded comment; however, any edits to it will get removed if the file is opened in a newer version of Excel. Learn more: https://go.microsoft.com/fwlink/?linkid=870924
Comment:
    "We preregistered this study“</t>
      </text>
    </comment>
    <comment ref="DS30" authorId="380" shapeId="0" xr:uid="{3BDD9C60-5B66-4063-AAB2-4AEA0312BF22}">
      <text>
        <t xml:space="preserve">[Threaded comment]
Your version of Excel allows you to read this threaded comment; however, any edits to it will get removed if the file is opened in a newer version of Excel. Learn more: https://go.microsoft.com/fwlink/?linkid=870924
Comment:
    "We created a coding manual to guide coding and facilitate replication (https://osf.io/ge2u3/)." </t>
      </text>
    </comment>
    <comment ref="DT30" authorId="381" shapeId="0" xr:uid="{1A1F67E3-4509-4AD0-83AD-D86FA3A71E44}">
      <text>
        <t xml:space="preserve">[Threaded comment]
Your version of Excel allows you to read this threaded comment; however, any edits to it will get removed if the file is opened in a newer version of Excel. Learn more: https://go.microsoft.com/fwlink/?linkid=870924
Comment:
    "For data and syntax, see https://osf.io/49xyk/." </t>
      </text>
    </comment>
    <comment ref="BL31" authorId="382" shapeId="0" xr:uid="{C9D99D14-48D0-455C-9BBB-F6197666C398}">
      <text>
        <t>[Threaded comment]
Your version of Excel allows you to read this threaded comment; however, any edits to it will get removed if the file is opened in a newer version of Excel. Learn more: https://go.microsoft.com/fwlink/?linkid=870924
Comment:
    “The meta-analysis with the highest percentage of overlapping studies was removed and percentages of overlap in the remaining meta-analyses were recalculated. This recursive process was repeated until an acceptable level of overlap (i.e., 50% and 25%) in each meta-analysis was achieved”</t>
      </text>
    </comment>
    <comment ref="AB32" authorId="383" shapeId="0" xr:uid="{D9E7EA88-6125-E44C-B5C2-C434FBBFD9F2}">
      <text>
        <t>[Threaded comment]
Your version of Excel allows you to read this threaded comment; however, any edits to it will get removed if the file is opened in a newer version of Excel. Learn more: https://go.microsoft.com/fwlink/?linkid=870924
Comment:
    Overall, at post-measurement, 411 primary studies (reported in 436 articles) were included in the meta-meta-analyses and 135 at follow-up (reported in 148 articles).</t>
      </text>
    </comment>
    <comment ref="AC32" authorId="384" shapeId="0" xr:uid="{0D25DAFF-4C72-E04C-BA01-7980EDF16B3D}">
      <text>
        <t>[Threaded comment]
Your version of Excel allows you to read this threaded comment; however, any edits to it will get removed if the file is opened in a newer version of Excel. Learn more: https://go.microsoft.com/fwlink/?linkid=870924
Comment:
    For Carr et al., we added 772 pre FU; for Leijten, Melendez-Torres, et al, we added both meta-analyses (13478 + 5648); Maughen et al we added the full 3171; for Sanders et al and Tellegen and Sanders, we added 1 participant per family; and for Serketich &amp; Dumas, we multipled the Mean number of participants by the number of studies (26*28.86=750.36) and rounded the result; and for Thomas / Zimmer-gembeck, we added all 1519 participants.</t>
      </text>
    </comment>
    <comment ref="AI32" authorId="385" shapeId="0" xr:uid="{EF9D8AF2-8EBB-44F7-9DDF-AC4842C4C688}">
      <text>
        <t xml:space="preserve">[Threaded comment]
Your version of Excel allows you to read this threaded comment; however, any edits to it will get removed if the file is opened in a newer version of Excel. Learn more: https://go.microsoft.com/fwlink/?linkid=870924
Comment:
    More detailed in supplementary
</t>
      </text>
    </comment>
    <comment ref="AJ32" authorId="386" shapeId="0" xr:uid="{F6F8FEC5-4B90-4EC4-AF8C-43EC34A3C442}">
      <text>
        <t xml:space="preserve">[Threaded comment]
Your version of Excel allows you to read this threaded comment; however, any edits to it will get removed if the file is opened in a newer version of Excel. Learn more: https://go.microsoft.com/fwlink/?linkid=870924
Comment:
    "Eligibility assessment was independently realized by two reviewers (LW, TM)." </t>
      </text>
    </comment>
    <comment ref="AK32" authorId="387" shapeId="0" xr:uid="{B237DB77-BBAB-40DD-8B8E-BB85E3542946}">
      <text>
        <t>[Threaded comment]
Your version of Excel allows you to read this threaded comment; however, any edits to it will get removed if the file is opened in a newer version of Excel. Learn more: https://go.microsoft.com/fwlink/?linkid=870924
Comment:
    “Disagreements were subsequently resolved by consensus.”</t>
      </text>
    </comment>
    <comment ref="AO32" authorId="388" shapeId="0" xr:uid="{26AA344C-ADA4-430B-85A8-62676A8D9891}">
      <text>
        <t>[Threaded comment]
Your version of Excel allows you to read this threaded comment; however, any edits to it will get removed if the file is opened in a newer version of Excel. Learn more: https://go.microsoft.com/fwlink/?linkid=870924
Comment:
    "While 20 meta-analyses exclusively considered controlled trials, 8 meta-analyses included controlled as well as uncontrolled trials."
"Effects were estimated on the one hand as comparisons of experimental and control groups and on the other hand on pre- to post-/follow-up-measures.”</t>
      </text>
    </comment>
    <comment ref="BF32" authorId="389" shapeId="0" xr:uid="{1C74263E-58FF-4923-AF05-1279B8930E7C}">
      <text>
        <t>[Threaded comment]
Your version of Excel allows you to read this threaded comment; however, any edits to it will get removed if the file is opened in a newer version of Excel. Learn more: https://go.microsoft.com/fwlink/?linkid=870924
Comment:
    “Two reviewers checked the extracted data, and disagreements were resolved by consulting the articles and by discussion between the two authors”</t>
      </text>
    </comment>
    <comment ref="BI32" authorId="390" shapeId="0" xr:uid="{F1FFD468-2334-414A-ABEE-26A7E370651F}">
      <text>
        <t xml:space="preserve">[Threaded comment]
Your version of Excel allows you to read this threaded comment; however, any edits to it will get removed if the file is opened in a newer version of Excel. Learn more: https://go.microsoft.com/fwlink/?linkid=870924
Comment:
    Two reviewers checked the extracted data, and disagreements were resolved by consulting the articles and by discussion between the two authors.
</t>
      </text>
    </comment>
    <comment ref="BL32" authorId="391" shapeId="0" xr:uid="{42EA32A4-CA4A-44B2-9F99-008332F0FDC0}">
      <text>
        <t xml:space="preserve">[Threaded comment]
Your version of Excel allows you to read this threaded comment; however, any edits to it will get removed if the file is opened in a newer version of Excel. Learn more: https://go.microsoft.com/fwlink/?linkid=870924
Comment:
    “To establish that each primary study contributed only once to the meta-meta-analysis, an adjusted value was estimated for each primary study that was included in multiple meta-analyses.”​ </t>
      </text>
    </comment>
    <comment ref="BR32" authorId="392" shapeId="0" xr:uid="{CF56CCFB-1D4C-4F52-A0CF-9A43AA5595A3}">
      <text>
        <t xml:space="preserve">[Threaded comment]
Your version of Excel allows you to read this threaded comment; however, any edits to it will get removed if the file is opened in a newer version of Excel. Learn more: https://go.microsoft.com/fwlink/?linkid=870924
Comment:
    The information was used to interpret the robustness of the findings and to discuss limitations of included meta-analyses.
“The mean quality index was 38.88 (SD = 6.85, range 24–49.5). Overall, the quality of the included meta-analyses is satisfactory as the mean quality index exceeds the benchmark of two-thirds of the total score.”​
</t>
      </text>
    </comment>
    <comment ref="CD32" authorId="393" shapeId="0" xr:uid="{A87CC8ED-A30F-45A3-8DD0-08DBD880FD07}">
      <text>
        <t xml:space="preserve">[Threaded comment]
Your version of Excel allows you to read this threaded comment; however, any edits to it will get removed if the file is opened in a newer version of Excel. Learn more: https://go.microsoft.com/fwlink/?linkid=870924
Comment:
    "For each meta-analysis, effect estimates were transformed to standardized mean differences (SMD). Only effect estimates that were based on at least two primary studies were used. If a meta-analysis stated multiple effect sizes for one outcome, these estimates were aggregated into a single effect size. Thus, each meta-analysis contributed only one effect size to the meta-meta-analysis." </t>
      </text>
    </comment>
    <comment ref="DE32" authorId="394" shapeId="0" xr:uid="{6DBCD303-DAD1-4D4B-B058-3AE8DAC19E8E}">
      <text>
        <t>[Threaded comment]
Your version of Excel allows you to read this threaded comment; however, any edits to it will get removed if the file is opened in a newer version of Excel. Learn more: https://go.microsoft.com/fwlink/?linkid=870924
Comment:
    Table 1</t>
      </text>
    </comment>
    <comment ref="DF32" authorId="395" shapeId="0" xr:uid="{224168B6-03D5-41CD-9073-877C8D84648F}">
      <text>
        <t xml:space="preserve">[Threaded comment]
Your version of Excel allows you to read this threaded comment; however, any edits to it will get removed if the file is opened in a newer version of Excel. Learn more: https://go.microsoft.com/fwlink/?linkid=870924
Comment:
    Tables C and D in the supplementary materials (S3 File). </t>
      </text>
    </comment>
    <comment ref="DJ32" authorId="396" shapeId="0" xr:uid="{AE8D8FA9-57AE-466E-BA61-FF0F4B74C415}">
      <text>
        <t>[Threaded comment]
Your version of Excel allows you to read this threaded comment; however, any edits to it will get removed if the file is opened in a newer version of Excel. Learn more: https://go.microsoft.com/fwlink/?linkid=870924
Comment:
    In limitations</t>
      </text>
    </comment>
    <comment ref="DM32" authorId="397" shapeId="0" xr:uid="{E04B9F4F-F39D-4421-8FB1-5ABE6E506D39}">
      <text>
        <t xml:space="preserve">[Threaded comment]
Your version of Excel allows you to read this threaded comment; however, any edits to it will get removed if the file is opened in a newer version of Excel. Learn more: https://go.microsoft.com/fwlink/?linkid=870924
Comment:
    “Future studies should distinguish more carefully between prevention and clinical studies, or at least take special care to report more details of the included populations, especially concerning initial problem severity.” </t>
      </text>
    </comment>
    <comment ref="M33" authorId="398" shapeId="0" xr:uid="{377794BB-C6B9-5F40-A601-D19B9C3D37EA}">
      <text>
        <t>[Threaded comment]
Your version of Excel allows you to read this threaded comment; however, any edits to it will get removed if the file is opened in a newer version of Excel. Learn more: https://go.microsoft.com/fwlink/?linkid=870924
Comment:
    In intro page 1026: ”Similarly, without a trustworthy benchmark about how much improvement in employee well‐being can be expected, HR practitioners might ‘oversell’ or ‘undersell’ the importance of exercising mindfulness at work. Thus, our work's first contribution is to summarise the effect sizes of MBIs on employee well‐being by conducting a ‘bare‐bones’ second‐order meta‐analysis”</t>
      </text>
    </comment>
    <comment ref="U33" authorId="399" shapeId="0" xr:uid="{AB7E66AB-BE21-48D3-92D2-FC93A9957B86}">
      <text>
        <t>[Threaded comment]
Your version of Excel allows you to read this threaded comment; however, any edits to it will get removed if the file is opened in a newer version of Excel. Learn more: https://go.microsoft.com/fwlink/?linkid=870924
Comment:
    In intro page 1026: ”Similarly, without a trustworthy benchmark about how much improvement in employee well‐being can be expected, HR practitioners might ‘oversell’ or ‘undersell’ the importance of exercising mindfulness at work. Thus, our work's first contribution is to summarise the effect sizes of MBIs on employee well‐being by conducting a ‘bare‐bones’ second‐order meta‐analysis”</t>
      </text>
    </comment>
    <comment ref="AC33" authorId="400" shapeId="0" xr:uid="{CA7EA2D0-06FD-2442-AB33-0CEAE3A04F93}">
      <text>
        <t>[Threaded comment]
Your version of Excel allows you to read this threaded comment; however, any edits to it will get removed if the file is opened in a newer version of Excel. Learn more: https://go.microsoft.com/fwlink/?linkid=870924
Comment:
    They only report k = 409 and n = 22,500 before removing one (supposidly very comprehensive) article.</t>
      </text>
    </comment>
    <comment ref="AE33" authorId="401" shapeId="0" xr:uid="{FF437ABA-EAD0-42BD-915C-34E060C21135}">
      <text>
        <t xml:space="preserve">[Threaded comment]
Your version of Excel allows you to read this threaded comment; however, any edits to it will get removed if the file is opened in a newer version of Excel. Learn more: https://go.microsoft.com/fwlink/?linkid=870924
Comment:
    "Our inclusion criteria were similar to Lomas et al. (2019), mainly ... (5) written in English." </t>
      </text>
    </comment>
    <comment ref="AG33" authorId="402" shapeId="0" xr:uid="{A9E031FA-99A4-4767-90B7-3D3B068C603E}">
      <text>
        <t xml:space="preserve">[Threaded comment]
Your version of Excel allows you to read this threaded comment; however, any edits to it will get removed if the file is opened in a newer version of Excel. Learn more: https://go.microsoft.com/fwlink/?linkid=870924
Comment:
    "Our inclusion criteria were similar to Lomas et al. (2019), mainly ... (4) published in a peer-reviewed academic journal." </t>
      </text>
    </comment>
    <comment ref="BT33" authorId="403" shapeId="0" xr:uid="{42D69F27-B6BE-4730-8A59-3AE16F4AC304}">
      <text>
        <t xml:space="preserve">[Threaded comment]
Your version of Excel allows you to read this threaded comment; however, any edits to it will get removed if the file is opened in a newer version of Excel. Learn more: https://go.microsoft.com/fwlink/?linkid=870924
Comment:
    "Our work's first contribution is to summarise the effect sizes of MBIs on employee well-being by conducting a ‘bare-bones’ second-order meta-analysis"​ </t>
      </text>
    </comment>
    <comment ref="CB33" authorId="404" shapeId="0" xr:uid="{32A03030-32E9-40F3-8213-5FA5DA236996}">
      <text>
        <t>[Threaded comment]
Your version of Excel allows you to read this threaded comment; however, any edits to it will get removed if the file is opened in a newer version of Excel. Learn more: https://go.microsoft.com/fwlink/?linkid=870924
Comment:
    "The second-order sampling error accounted for 12.10% of the total variance among first-order meta-analyses. In turn, the true sampling error explained 1% of the variance between first-order meta-analyses."​
Additionally: "After correcting for sampling error, extant MBIs were more effective in reducing negative states such as distress (g = −0.74) than in fostering eudaimonic well-being criteria (g = 0.58)."
This explanation reveals that adjustments were made to account for sampling errors, which naturally attenuate the raw effect sizes to yield corrected or unbiased estimates.</t>
      </text>
    </comment>
    <comment ref="CM33" authorId="405" shapeId="0" xr:uid="{B55AC942-7F38-4960-A585-34A94100120C}">
      <text>
        <t xml:space="preserve">[Threaded comment]
Your version of Excel allows you to read this threaded comment; however, any edits to it will get removed if the file is opened in a newer version of Excel. Learn more: https://go.microsoft.com/fwlink/?linkid=870924
Comment:
    "The second-order sampling error accounted for 12.10% of the total variance among first-order meta-analyses. In turn, the true sampling error explained 1% of the variance between first-order meta-analyses. Finally, the reliability of the first-order overall effect size was 0.88"​ </t>
      </text>
    </comment>
    <comment ref="CY33" authorId="406" shapeId="0" xr:uid="{F2948645-7070-4924-A5AA-35BE89DBF745}">
      <text>
        <t xml:space="preserve">[Threaded comment]
Your version of Excel allows you to read this threaded comment; however, any edits to it will get removed if the file is opened in a newer version of Excel. Learn more: https://go.microsoft.com/fwlink/?linkid=870924
Comment:
    "Based on the effect sizes detected in Phase 1, we used G*power 3.1 (Faul et al., 2009) to calculate our minimum viable sample size" </t>
      </text>
    </comment>
    <comment ref="DA33" authorId="407" shapeId="0" xr:uid="{7B943927-E38D-4CCE-8A8E-FBB25312CFA6}">
      <text>
        <t>[Threaded comment]
Your version of Excel allows you to read this threaded comment; however, any edits to it will get removed if the file is opened in a newer version of Excel. Learn more: https://go.microsoft.com/fwlink/?linkid=870924
Comment:
    Figure 2</t>
      </text>
    </comment>
    <comment ref="DF33" authorId="408" shapeId="0" xr:uid="{D2EA0590-4EB6-4398-A6CF-79267E2734FC}">
      <text>
        <t>[Threaded comment]
Your version of Excel allows you to read this threaded comment; however, any edits to it will get removed if the file is opened in a newer version of Excel. Learn more: https://go.microsoft.com/fwlink/?linkid=870924
Comment:
    Table 1</t>
      </text>
    </comment>
    <comment ref="DM33" authorId="409" shapeId="0" xr:uid="{02D70CF8-FC4B-48C0-B6DF-CFB296754BD9}">
      <text>
        <t>[Threaded comment]
Your version of Excel allows you to read this threaded comment; however, any edits to it will get removed if the file is opened in a newer version of Excel. Learn more: https://go.microsoft.com/fwlink/?linkid=870924
Comment:
    ”Second, our sample has some limitations, as it consisted of female registered nurses from a small healthcare organisation, and, thus, other professions were not represented in our study”</t>
      </text>
    </comment>
    <comment ref="DU33" authorId="410" shapeId="0" xr:uid="{DB28027B-F38D-4BED-8013-7E0923AA250B}">
      <text>
        <t>[Threaded comment]
Your version of Excel allows you to read this threaded comment; however, any edits to it will get removed if the file is opened in a newer version of Excel. Learn more: https://go.microsoft.com/fwlink/?linkid=870924
Comment:
    Supplementary: "The data that support the findings of this study are openly available at …”</t>
      </text>
    </comment>
    <comment ref="L34" authorId="411" shapeId="0" xr:uid="{8936B1E0-437D-4ABC-A41D-36FB3E124423}">
      <text>
        <t xml:space="preserve">[Threaded comment]
Your version of Excel allows you to read this threaded comment; however, any edits to it will get removed if the file is opened in a newer version of Excel. Learn more: https://go.microsoft.com/fwlink/?linkid=870924
Comment:
    Institute of Social and Preventive Medicine, University of Bern, Switzerland </t>
      </text>
    </comment>
    <comment ref="AA34" authorId="412" shapeId="0" xr:uid="{46F53A2B-BA89-584A-BC4F-2AD61DB34AC1}">
      <text>
        <t>[Threaded comment]
Your version of Excel allows you to read this threaded comment; however, any edits to it will get removed if the file is opened in a newer version of Excel. Learn more: https://go.microsoft.com/fwlink/?linkid=870924
Comment:
    30 meta-analyses were reported in 29 publications.</t>
      </text>
    </comment>
    <comment ref="AJ34" authorId="413" shapeId="0" xr:uid="{9E7D6D02-0E37-41C3-8CB9-8D6C326CB3DA}">
      <text>
        <t>[Threaded comment]
Your version of Excel allows you to read this threaded comment; however, any edits to it will get removed if the file is opened in a newer version of Excel. Learn more: https://go.microsoft.com/fwlink/?linkid=870924
Comment:
    “Potentially relevant records were retrieved in full-text form and were reviewed independently by a doctoral-level psychologist and a master's student.”</t>
      </text>
    </comment>
    <comment ref="AK34" authorId="414" shapeId="0" xr:uid="{63B0F841-BB9E-4AEF-9C35-1670C040ACCF}">
      <text>
        <t xml:space="preserve">[Threaded comment]
Your version of Excel allows you to read this threaded comment; however, any edits to it will get removed if the file is opened in a newer version of Excel. Learn more: https://go.microsoft.com/fwlink/?linkid=870924
Comment:
disagreements were resolved through discussion but does not provide specific metrics for inter-rater reliability.
</t>
      </text>
    </comment>
    <comment ref="AW34" authorId="415" shapeId="0" xr:uid="{5FA6BD99-06F5-423E-AE1F-5D1626394DC3}">
      <text>
        <t xml:space="preserve">[Threaded comment]
Your version of Excel allows you to read this threaded comment; however, any edits to it will get removed if the file is opened in a newer version of Excel. Learn more: https://go.microsoft.com/fwlink/?linkid=870924
Comment:
    “All estimates of the RA-outcome association were transformed into r-class effect sizes.”
“For meta-analyses that used continuous RA measures, we extracted r whenever reported... standardized regression weights were extracted, and Cohen's d was transformed into r.” </t>
      </text>
    </comment>
    <comment ref="BJ34" authorId="416" shapeId="0" xr:uid="{5CED2C13-41E7-4740-9379-7DEBA88814A7}">
      <text>
        <t>[Threaded comment]
Your version of Excel allows you to read this threaded comment; however, any edits to it will get removed if the file is opened in a newer version of Excel. Learn more: https://go.microsoft.com/fwlink/?linkid=870924
Comment:
    "To establish primary study overlap across meta-analyses, for each primary study, i, included in any meta-analysis a master's student determined the number of meta-analyses in which it was included.”</t>
      </text>
    </comment>
    <comment ref="BL34" authorId="417" shapeId="0" xr:uid="{EB6283CF-673C-48F4-8CFC-32796FC17F0C}">
      <text>
        <t xml:space="preserve">[Threaded comment]
Your version of Excel allows you to read this threaded comment; however, any edits to it will get removed if the file is opened in a newer version of Excel. Learn more: https://go.microsoft.com/fwlink/?linkid=870924
Comment:
    "The inverse of this number was regarded as the uniqueness, ⁅U ⁆⁅i⁆⁅ ⁆Ui​, of this study. Consequently, the theoretical range of ⁅U ⁆⁅i⁆⁅ ⁆Ui​ is 1/n1/n to 1, where nn is the number of meta-analyses included." </t>
      </text>
    </comment>
    <comment ref="BS34" authorId="418" shapeId="0" xr:uid="{11669B7E-8491-4683-8DB2-F1B16EBADA41}">
      <text>
        <t xml:space="preserve">[Threaded comment]
Your version of Excel allows you to read this threaded comment; however, any edits to it will get removed if the file is opened in a newer version of Excel. Learn more: https://go.microsoft.com/fwlink/?linkid=870924
Comment:
    “We used a random-effects meta-analytic procedure (Hedges &amp; Olkin, 1985) to synthesize Zs from individual meta-analyses." </t>
      </text>
    </comment>
    <comment ref="CD34" authorId="419" shapeId="0" xr:uid="{46AA735E-CC05-4731-B1E0-C2325DBCC656}">
      <text>
        <t xml:space="preserve">[Threaded comment]
Your version of Excel allows you to read this threaded comment; however, any edits to it will get removed if the file is opened in a newer version of Excel. Learn more: https://go.microsoft.com/fwlink/?linkid=870924
Comment:
    "Each meta-analysis contributed one effect size to the meta-meta-analysis. Multiple estimates of the RA-outcome association from one meta-analysis were aggregated into a single effect size whenever those effects were not based on an independent set of studies (e.g., when different RA measures were used in one meta-analysis). A weighted average was calculated using kk contributing to each estimate as weight."
"For moderator analyses, different estimates from the same meta-analysis were not aggregated if estimates represented different levels of the moderator variable (e.g., separate estimates for comparative studies and controlled studies)."
</t>
      </text>
    </comment>
    <comment ref="DA34" authorId="420" shapeId="0" xr:uid="{13362BB1-D580-4F9E-BC60-5561B7611FE1}">
      <text>
        <t>[Threaded comment]
Your version of Excel allows you to read this threaded comment; however, any edits to it will get removed if the file is opened in a newer version of Excel. Learn more: https://go.microsoft.com/fwlink/?linkid=870924
Comment:
    Figure 1</t>
      </text>
    </comment>
    <comment ref="DE34" authorId="421" shapeId="0" xr:uid="{68941E89-457F-4BB3-B061-1FE2A16AF171}">
      <text>
        <t>[Threaded comment]
Your version of Excel allows you to read this threaded comment; however, any edits to it will get removed if the file is opened in a newer version of Excel. Learn more: https://go.microsoft.com/fwlink/?linkid=870924
Comment:
    Table 1</t>
      </text>
    </comment>
    <comment ref="DJ34" authorId="422" shapeId="0" xr:uid="{0E4E9CE8-53EA-4060-8C34-80A3F0C877A6}">
      <text>
        <t>[Threaded comment]
Your version of Excel allows you to read this threaded comment; however, any edits to it will get removed if the file is opened in a newer version of Excel. Learn more: https://go.microsoft.com/fwlink/?linkid=870924
Comment:
    discussion</t>
      </text>
    </comment>
    <comment ref="DM34" authorId="423" shapeId="0" xr:uid="{9807348E-E557-4AC7-94B1-ACA0BBF7DD78}">
      <text>
        <t xml:space="preserve">[Threaded comment]
Your version of Excel allows you to read this threaded comment; however, any edits to it will get removed if the file is opened in a newer version of Excel. Learn more: https://go.microsoft.com/fwlink/?linkid=870924
Comment:
    "The diversity of the meta-analyses included points to the generality of the RA-outcome association in different fields of psychotherapy outcome research." </t>
      </text>
    </comment>
    <comment ref="DO34" authorId="424" shapeId="0" xr:uid="{2F95631E-F828-4FAC-BCED-E44A2CE34FDC}">
      <text>
        <t xml:space="preserve">[Threaded comment]
Your version of Excel allows you to read this threaded comment; however, any edits to it will get removed if the file is opened in a newer version of Excel. Learn more: https://go.microsoft.com/fwlink/?linkid=870924
Comment:
    "It is further possible that researchers calculate the RA-outcome association without reporting the respective results in the research report, e.g., in the case of insignificant findings. This would bias our findings if the unpublished findings were substantially different from those included in our meta-analysis. We therefore calculated a fail-safe nn to determine the number of unpublished meta-analyses with a null finding that would bring the pooled estimate close to zero." </t>
      </text>
    </comment>
    <comment ref="DU34" authorId="425" shapeId="0" xr:uid="{DE147560-DA03-E946-99BF-F748C17741A8}">
      <text>
        <t>[Threaded comment]
Your version of Excel allows you to read this threaded comment; however, any edits to it will get removed if the file is opened in a newer version of Excel. Learn more: https://go.microsoft.com/fwlink/?linkid=870924
Comment:
    Table 1</t>
      </text>
    </comment>
    <comment ref="BI35" authorId="426" shapeId="0" xr:uid="{7245C7A4-672C-4CC0-B818-2E0DA58D78B9}">
      <text>
        <t>[Threaded comment]
Your version of Excel allows you to read this threaded comment; however, any edits to it will get removed if the file is opened in a newer version of Excel. Learn more: https://go.microsoft.com/fwlink/?linkid=870924
Comment:
    “We independently extracted all data items in duplicate and resolved disagreements via discussion. “</t>
      </text>
    </comment>
    <comment ref="DH35" authorId="427" shapeId="0" xr:uid="{68750918-0E32-47E4-ADE7-B0A03273DB12}">
      <text>
        <t>[Threaded comment]
Your version of Excel allows you to read this threaded comment; however, any edits to it will get removed if the file is opened in a newer version of Excel. Learn more: https://go.microsoft.com/fwlink/?linkid=870924
Comment:
    Table 2</t>
      </text>
    </comment>
    <comment ref="DU35" authorId="428" shapeId="0" xr:uid="{04D91D20-F97A-45F7-9D5C-5154BC493EBA}">
      <text>
        <t>[Threaded comment]
Your version of Excel allows you to read this threaded comment; however, any edits to it will get removed if the file is opened in a newer version of Excel. Learn more: https://go.microsoft.com/fwlink/?linkid=870924
Comment:
    Supplementary data</t>
      </text>
    </comment>
    <comment ref="AB36" authorId="429" shapeId="0" xr:uid="{ED8C87F9-9D1C-484C-A143-37F020155B6D}">
      <text>
        <t>[Threaded comment]
Your version of Excel allows you to read this threaded comment; however, any edits to it will get removed if the file is opened in a newer version of Excel. Learn more: https://go.microsoft.com/fwlink/?linkid=870924
Comment:
    “The resulting sample consisted of 131 meta-analyses consisting of 2446 unique primary studies. For four primary studies, we were not able to calculate the effect size, so these were excluded from our analyses. Our final sample consisted of 2442 primary studies, with over 20 million participants in total.”</t>
      </text>
    </comment>
    <comment ref="AG36" authorId="430" shapeId="0" xr:uid="{DE2F902E-7AAF-4902-96BE-8EDAE43C9134}">
      <text>
        <t xml:space="preserve">[Threaded comment]
Your version of Excel allows you to read this threaded comment; however, any edits to it will get removed if the file is opened in a newer version of Excel. Learn more: https://go.microsoft.com/fwlink/?linkid=870924
Comment:
    They acknowledged that gray literature often reports smaller effects than peer-reviewed studies, which can be a potential indicator of publication bias:
"Unpublished literature such as Ph.D. theses or conference proceedings typically report smaller effects than research published in peer-reviewed journals, which could be a possible indicator for publication bias"​
</t>
      </text>
    </comment>
    <comment ref="AN36" authorId="431" shapeId="0" xr:uid="{CFDC3255-C312-47DB-924A-014383F666D4}">
      <text>
        <t>[Threaded comment]
Your version of Excel allows you to read this threaded comment; however, any edits to it will get removed if the file is opened in a newer version of Excel. Learn more: https://go.microsoft.com/fwlink/?linkid=870924
Comment:
    Excluded: 1) Articles that did not report quantitative meta-analyses: "We excluded a further 208 articles that did not report a quantitative meta-analysis". 2) Meta-analyses that used non-standard methods (e.g., multilevel models with individual-level data): "We excluded 32 meta-analyses that used non-standard meta-analytic methods (e.g., multilevel models based on individual-level data or unweighted analyses) for which we could not calculate primary effect sizes that were suitable for this meta-meta-analysis". 3) Meta-analyses with fewer than three unique primary studies: "We excluded nine meta-analyses that contained fewer than three unique primary studies, because it was not possible to estimate patterns of bias based on only two observations"​</t>
      </text>
    </comment>
    <comment ref="AO36" authorId="432" shapeId="0" xr:uid="{251632AA-46ED-463D-9DDF-3637DD7B5331}">
      <text>
        <t xml:space="preserve">[Threaded comment]
Your version of Excel allows you to read this threaded comment; however, any edits to it will get removed if the file is opened in a newer version of Excel. Learn more: https://go.microsoft.com/fwlink/?linkid=870924
Comment:
    "Correlational studies and studies about group differences... In experimental research, the methodology increases in complexity because participants have to be randomly assigned... Toxicological studies are mainly quasi-experimental"​ </t>
      </text>
    </comment>
    <comment ref="AW36" authorId="433" shapeId="0" xr:uid="{701816C0-B70A-4A8D-9D51-43740C7E4CF0}">
      <text>
        <t xml:space="preserve">[Threaded comment]
Your version of Excel allows you to read this threaded comment; however, any edits to it will get removed if the file is opened in a newer version of Excel. Learn more: https://go.microsoft.com/fwlink/?linkid=870924
Comment:
    "For most of the meta-analyses, the effect size we extracted or calculated based on available data was either a Cohen’s d... or a correlation (r)"​ </t>
      </text>
    </comment>
    <comment ref="BJ36" authorId="434" shapeId="0" xr:uid="{67FDF774-9F2D-43BE-B3B9-AC90380CC234}">
      <text>
        <t xml:space="preserve">[Threaded comment]
Your version of Excel allows you to read this threaded comment; however, any edits to it will get removed if the file is opened in a newer version of Excel. Learn more: https://go.microsoft.com/fwlink/?linkid=870924
Comment:
    "For each meta-analysis, we coded several variables. First, we coded whether primary studies were unique in our sample, to avoid dependencies between meta-analyses. If a study appeared in more than one meta-analysis, we removed it from the meta-analysis with the most primary studies"​ </t>
      </text>
    </comment>
    <comment ref="BS36" authorId="435" shapeId="0" xr:uid="{233A199A-3E9B-7A41-9488-D94A27C30F68}">
      <text>
        <t>[Threaded comment]
Your version of Excel allows you to read this threaded comment; however, any edits to it will get removed if the file is opened in a newer version of Excel. Learn more: https://go.microsoft.com/fwlink/?linkid=870924
Comment:
    Caution: it remains somewhat unclear, how the authors removed the 8 overlapping primary studies, because they are conducting a regular SOMA and not a MA of primary studies.</t>
      </text>
    </comment>
    <comment ref="BT36" authorId="436" shapeId="0" xr:uid="{70957B55-5EF1-4CBC-82C7-F93000DBA7C0}">
      <text>
        <t>[Threaded comment]
Your version of Excel allows you to read this threaded comment; however, any edits to it will get removed if the file is opened in a newer version of Excel. Learn more: https://go.microsoft.com/fwlink/?linkid=870924
Comment:
    "We assumed random effects models at both levels, because it was highly unlikely that the same population effect underlay (1) every study within the meta-analyses, and (2) every meta-analysis’ small-study effect in the meta-meta regression"​ 
"At this meta-meta-level, we again used the Paule–Mandel estimator for random effects"</t>
      </text>
    </comment>
    <comment ref="CC36" authorId="437" shapeId="0" xr:uid="{01105F19-92DF-4A6D-9BE7-F5BAC49441EC}">
      <text>
        <t xml:space="preserve">[Threaded comment]
Your version of Excel allows you to read this threaded comment; however, any edits to it will get removed if the file is opened in a newer version of Excel. Learn more: https://go.microsoft.com/fwlink/?linkid=870924
Comment:
    "Per primary study, we only included one effect size where we prioritized effects based on FSIQ, VIQ, or PIQ, or other cognitive tests, in that order" </t>
      </text>
    </comment>
    <comment ref="CF36" authorId="438" shapeId="0" xr:uid="{D8862331-86FB-4D5E-84EB-54CFD8E5FE42}">
      <text>
        <t xml:space="preserve">[Threaded comment]
Your version of Excel allows you to read this threaded comment; however, any edits to it will get removed if the file is opened in a newer version of Excel. Learn more: https://go.microsoft.com/fwlink/?linkid=870924
Comment:
    Small-Study Effect: "We investigated whether different bias-related patterns were present in intelligence research, starting with the small-study effect. Smaller studies generally contain more sampling error, which means that the effect size estimates can vary widely. If the extreme estimates are more likely to be published, this may lead to an inflated average effect size in the literature" 
Decline Effect: "We investigated the decline effect, US effect, and citation bias using the same general two-step meta-regressions we used to estimate the small-study effect" 
Citation Bias: We investigated the presence of several other bias-related patterns beside the small-study effect, following recent meta-science efforts in other fields (e.g., Fanelli et al. 2017): the decline effect, the US effect, and citation bias. </t>
      </text>
    </comment>
    <comment ref="CM36" authorId="439" shapeId="0" xr:uid="{D164B907-B678-4C0D-BA4B-AA3EBAE6D7B4}">
      <text>
        <t xml:space="preserve">[Threaded comment]
Your version of Excel allows you to read this threaded comment; however, any edits to it will get removed if the file is opened in a newer version of Excel. Learn more: https://go.microsoft.com/fwlink/?linkid=870924
Comment:
    "To combine this information across meta-analyses, we then ran another meta-analysis to obtain a weighted average of all obtained regression coefficients... At this meta-meta-level, we again used the Paule–Mandel estimator for random effects"​ 
"I² = 47.3%, var (representing variation in small-study effects across meta-analyses) = 0.73 (SE = 0.25)"​ </t>
      </text>
    </comment>
    <comment ref="CR36" authorId="440" shapeId="0" xr:uid="{D775C436-EF81-4B0B-A580-F82F72BAE43B}">
      <text>
        <t xml:space="preserve">[Threaded comment]
Your version of Excel allows you to read this threaded comment; however, any edits to it will get removed if the file is opened in a newer version of Excel. Learn more: https://go.microsoft.com/fwlink/?linkid=870924
Comment:
    The authors conducted moderator analyses to examine differences in effect sizes, power, and bias across different types of studies in intelligence research. 
"Finally, we categorized the meta-analyses in five different types of research: correlational, group differences, experiments and interventions, toxicology, and behavior genetics"​ 
"We chose these five categories to distinguish between substantively different types of research questions and their associated research designs, while retaining a sufficient number of meta-analyses in each type to make reliable inferences about effect sizes, power, and bias"​ 
"We used the same general two-step meta-regressions we used to estimate the small-study effect"​ </t>
      </text>
    </comment>
    <comment ref="CS36" authorId="441" shapeId="0" xr:uid="{3F359347-346D-49C9-8F28-6BB7542C1DD0}">
      <text>
        <t xml:space="preserve">[Threaded comment]
Your version of Excel allows you to read this threaded comment; however, any edits to it will get removed if the file is opened in a newer version of Excel. Learn more: https://go.microsoft.com/fwlink/?linkid=870924
Comment:
    "We used the same general two-step meta-regressions we used to estimate the small-study effect"​ </t>
      </text>
    </comment>
    <comment ref="CW36" authorId="442" shapeId="0" xr:uid="{3DBE7FC0-CE6E-4311-9628-80A23600423E}">
      <text>
        <t>[Threaded comment]
Your version of Excel allows you to read this threaded comment; however, any edits to it will get removed if the file is opened in a newer version of Excel. Learn more: https://go.microsoft.com/fwlink/?linkid=870924
Comment:
     "We excluded eight primary studies that occurred in multiple meta-analyses of different types, but, after rerunning some of our descriptive analyses, we concluded that this is unlikely to have affected our conclusions"</t>
      </text>
    </comment>
    <comment ref="CY36" authorId="443" shapeId="0" xr:uid="{DB513DD1-F1A9-44D5-BDBC-6D698E04DDF4}">
      <text>
        <t xml:space="preserve">[Threaded comment]
Your version of Excel allows you to read this threaded comment; however, any edits to it will get removed if the file is opened in a newer version of Excel. Learn more: https://go.microsoft.com/fwlink/?linkid=870924
Comment:
    Power analyses were conducted to evaluate the ability to detect small, medium, and large effects:
"Overall, we found a median power of 11.9% to detect a small effect, 54.5% to detect a medium effect, and 93.9% to detect a large effect"​
</t>
      </text>
    </comment>
    <comment ref="DA36" authorId="444" shapeId="0" xr:uid="{40E679D7-91B6-470F-9966-95A6AEEB59B1}">
      <text>
        <t>[Threaded comment]
Your version of Excel allows you to read this threaded comment; however, any edits to it will get removed if the file is opened in a newer version of Excel. Learn more: https://go.microsoft.com/fwlink/?linkid=870924
Comment:
    Figure 1</t>
      </text>
    </comment>
    <comment ref="DE36" authorId="445" shapeId="0" xr:uid="{4FC7613C-4DA4-6F4C-9326-1D85F13B8FC8}">
      <text>
        <t>[Threaded comment]
Your version of Excel allows you to read this threaded comment; however, any edits to it will get removed if the file is opened in a newer version of Excel. Learn more: https://go.microsoft.com/fwlink/?linkid=870924
Comment:
    Table 2</t>
      </text>
    </comment>
    <comment ref="DF36" authorId="446" shapeId="0" xr:uid="{46A47325-DCC1-4C0A-AAF0-47EE36DCFE09}">
      <text>
        <t>[Threaded comment]
Your version of Excel allows you to read this threaded comment; however, any edits to it will get removed if the file is opened in a newer version of Excel. Learn more: https://go.microsoft.com/fwlink/?linkid=870924
Comment:
    Table 4</t>
      </text>
    </comment>
    <comment ref="DJ36" authorId="447" shapeId="0" xr:uid="{57A78BBE-B1C5-418E-8C39-3EDC34A70851}">
      <text>
        <t xml:space="preserve">[Threaded comment]
Your version of Excel allows you to read this threaded comment; however, any edits to it will get removed if the file is opened in a newer version of Excel. Learn more: https://go.microsoft.com/fwlink/?linkid=870924
Comment:
    "We found evidence for an overall small-study effect, which can reflect publication bias. Smaller studies generally contain more sampling error, which means that their effect size estimates can vary widely. If extreme estimates are more likely to be published, this may lead to an inflated average effect size in the literature."​ </t>
      </text>
    </comment>
    <comment ref="DK36" authorId="448" shapeId="0" xr:uid="{38A77CEB-4722-4B5D-90C2-04060759354E}">
      <text>
        <t>[Threaded comment]
Your version of Excel allows you to read this threaded comment; however, any edits to it will get removed if the file is opened in a newer version of Excel. Learn more: https://go.microsoft.com/fwlink/?linkid=870924
Comment:
    “A final recommendation is to increase transparency by sharing materials, data, and analysis scripts to facilitate replication and reanalysis”</t>
      </text>
    </comment>
    <comment ref="DT36" authorId="449" shapeId="0" xr:uid="{321D1882-C4C8-4DAD-942B-11A19C6CDE06}">
      <text>
        <t>[Threaded comment]
Your version of Excel allows you to read this threaded comment; however, any edits to it will get removed if the file is opened in a newer version of Excel. Learn more: https://go.microsoft.com/fwlink/?linkid=870924
Comment:
    "All the data, analysis scripts, and an online Appendix with supplemental analyses and results can be found on this paper’s project page on the Open Science Framework at https://osf.io/z8emy/"&amp;#8203;:contentReference[oaicite:8]{index=8}.”</t>
      </text>
    </comment>
    <comment ref="AA38" authorId="450" shapeId="0" xr:uid="{8D132142-0BD4-465F-9A06-793AF69DB190}">
      <text>
        <t>[Threaded comment]
Your version of Excel allows you to read this threaded comment; however, any edits to it will get removed if the file is opened in a newer version of Excel. Learn more: https://go.microsoft.com/fwlink/?linkid=870924
Comment:
    ”The electronic searches conducted for Study 1 above did not yield any matrices that had not been already curated. Overall, there were 43 metaanalytic FFM intercorrelation matrices from 15 studies ”</t>
      </text>
    </comment>
    <comment ref="AB38" authorId="451" shapeId="0" xr:uid="{FC41F7AD-3A48-45C7-8000-191F035AFBD3}">
      <text>
        <t>[Threaded comment]
Your version of Excel allows you to read this threaded comment; however, any edits to it will get removed if the file is opened in a newer version of Excel. Learn more: https://go.microsoft.com/fwlink/?linkid=870924
Comment:
    Table 6 presents the number of primary studies and participants; however, calculating the total across all 44 studies proved challenging.</t>
      </text>
    </comment>
    <comment ref="AD38" authorId="452" shapeId="0" xr:uid="{58816E53-F9C4-4157-A3CC-1C9D2526C173}">
      <text>
        <t xml:space="preserve">[Threaded comment]
Your version of Excel allows you to read this threaded comment; however, any edits to it will get removed if the file is opened in a newer version of Excel. Learn more: https://go.microsoft.com/fwlink/?linkid=870924
Comment:
    Not very clear, this was just the sample example used to do the coding:
"Sample type (general adult, university student, employee, adolescent/children, special populations [e.g., clinical], and mixed)"​  
“The Ones (1993) and Mount et al. (2005) matrices included a mix of employee and general adult samples. van der Linden et al. (2010) reported subgroup matrices for general adults, employees, university students, adolescents and children, and special (clinical) samples. Other meta-analytic FFM matrices have varied in the types of samples included in their analyses (see Table 5).”
</t>
      </text>
    </comment>
    <comment ref="AE38" authorId="453" shapeId="0" xr:uid="{D2D637AE-CFE3-4650-AC72-6BF65159BCF4}">
      <text>
        <t>[Threaded comment]
Your version of Excel allows you to read this threaded comment; however, any edits to it will get removed if the file is opened in a newer version of Excel. Learn more: https://go.microsoft.com/fwlink/?linkid=870924
Comment:
    This might indirectly support that they do, however its not clear:
”International Samples Although the FFM personality dimensions are found in or recovered from inventories in a variety of languages and with various cultural and national samples (McCrae &amp; Allik, 2002), specific narrow personality constructs associated with each of the FFM traits can shift their location in the personality hierarchy. Personality traits do not have simple structure, and the pattern of dominant loadings and cross-loadings of lower-order traits on the Big Five-level traits can vary somewhat across cultures. For example, positive valence and intellect tend to load together in Chinese language and samples (Zhou, Saucier, Gao, &amp; Liu, 2009), and the compassion aspect of Agreeableness loads onto Conscientiousness in Turkish data (Gülgöz, 2002). The sociability and excitement-seeking facets of Extraversion have substantial loadings on Neuroticism in Baltic-Finnish inventories (Pulver, Allik, Pulkkinen, &amp; Hämäläinen, 1995). In some languages and cultures, a clear Openness factor of the FFM does not replicate (e.g., Cheung, van de Vijver, &amp; Leong, 2011; Hofstee, Kiers, De Raad, Goldberg, &amp; Ostendorf, 1997; Zeinoun, Daouk-Öyry, Choueiri, &amp; van de Vijver, 2018), ...”</t>
      </text>
    </comment>
    <comment ref="AG38" authorId="454" shapeId="0" xr:uid="{A11359E4-491E-422E-B99B-0B317B7C3E9D}">
      <text>
        <t>[Threaded comment]
Your version of Excel allows you to read this threaded comment; however, any edits to it will get removed if the file is opened in a newer version of Excel. Learn more: https://go.microsoft.com/fwlink/?linkid=870924
Comment:
    Table 5 in description column</t>
      </text>
    </comment>
    <comment ref="AH38" authorId="455" shapeId="0" xr:uid="{63EB856D-313E-431C-9E7D-E80DC4920E46}">
      <text>
        <t xml:space="preserve">[Threaded comment]
Your version of Excel allows you to read this threaded comment; however, any edits to it will get removed if the file is opened in a newer version of Excel. Learn more: https://go.microsoft.com/fwlink/?linkid=870924
Comment:
    "We sought to identify all meta-analytic matrices of FFM intercorrelations to provide a robust basis"​ </t>
      </text>
    </comment>
    <comment ref="AO38" authorId="456" shapeId="0" xr:uid="{036A5C2C-C2AC-425D-869F-A9A8A7F69BAE}">
      <text>
        <t xml:space="preserve">[Threaded comment]
Your version of Excel allows you to read this threaded comment; however, any edits to it will get removed if the file is opened in a newer version of Excel. Learn more: https://go.microsoft.com/fwlink/?linkid=870924
Comment:
    The paper describes aggregating intercorrelations, which are typical of cross-sectional designs but does not explicitly name the designs in study 3. 
Study 3 did not focus on primary study designs but instead aggregated meta-analytic FFM matrices derived from a variety of previous studies. These matrices typically originate from research that uses cross-sectional designs, as personality intercorrelations are generally calculated from surveys or assessments administered at a single point in time. 
"The primary purpose of Study 3 is to investigate which factors explain the differences in mean FFM trait intercorrelations across meta-analyses." </t>
      </text>
    </comment>
    <comment ref="AW38" authorId="457" shapeId="0" xr:uid="{BB0DF3DA-6EE9-4741-8A7F-0414E83AC9B0}">
      <text>
        <t xml:space="preserve">[Threaded comment]
Your version of Excel allows you to read this threaded comment; however, any edits to it will get removed if the file is opened in a newer version of Excel. Learn more: https://go.microsoft.com/fwlink/?linkid=870924
Comment:
    "Correlations for most individual inventories were reported by only 1–2 meta-analyses, with the exception of the NEO." </t>
      </text>
    </comment>
    <comment ref="BF38" authorId="458" shapeId="0" xr:uid="{F7FA751C-0857-4663-97CF-D93E6FC623DB}">
      <text>
        <t>[Threaded comment]
Your version of Excel allows you to read this threaded comment; however, any edits to it will get removed if the file is opened in a newer version of Excel. Learn more: https://go.microsoft.com/fwlink/?linkid=870924
Comment:
    Coded moderator variables:
”Brenton M. Wiernik and Deniz S. Ones reviewed the methods and samples included in each meta-analysis and coded them for the following moderator variables: rating source (self-rated, other-rated [including single other and interrater correlations]); within- versus between-inventory correlations (within, between, and mixed); personality framework (explicit FFM only, explicit, and classified FFM); specific inventories included (individual inventories, mixed);14 sample type (general adult, university student, employee, adolescent/children, special populations [e.g., clinical15], and mixed); inclusion of unpublished studies (yes, no); assessment purpose (research, personnel applications [selection, development, etc.], and mixed); and inclusion of United States/North American samples only (yes, no). We also recorded the publication date for each meta-analysis and the decades in which included samples were collected (intercoder agreement was 100%).”</t>
      </text>
    </comment>
    <comment ref="BJ38" authorId="459" shapeId="0" xr:uid="{F88DF14B-4B25-422C-B004-81E4B317A6BF}">
      <text>
        <t xml:space="preserve">[Threaded comment]
Your version of Excel allows you to read this threaded comment; however, any edits to it will get removed if the file is opened in a newer version of Excel. Learn more: https://go.microsoft.com/fwlink/?linkid=870924
Comment:
    "Unfortunately, insufficient information was provided in the included first-order meta-analyses to permit such fine-grained analyses without identifying and recoding potentially thousands of individual primary studies." </t>
      </text>
    </comment>
    <comment ref="BT38" authorId="460" shapeId="0" xr:uid="{01C457A1-06E3-4A50-B2AB-00CECBAA0126}">
      <text>
        <t xml:space="preserve">[Threaded comment]
Your version of Excel allows you to read this threaded comment; however, any edits to it will get removed if the file is opened in a newer version of Excel. Learn more: https://go.microsoft.com/fwlink/?linkid=870924
Comment:
    "We examined the impacts of the above moderator variables on FFM intercorrelations using second-order meta-analysis and second-order meta-regression"​ </t>
      </text>
    </comment>
    <comment ref="CB38" authorId="461" shapeId="0" xr:uid="{F891873A-E240-4812-B22D-0C2FF98B361E}">
      <text>
        <t xml:space="preserve">[Threaded comment]
Your version of Excel allows you to read this threaded comment; however, any edits to it will get removed if the file is opened in a newer version of Excel. Learn more: https://go.microsoft.com/fwlink/?linkid=870924
Comment:
    In study 2 they say "We corrected correlations individually for measurement error in both variables using local reliability.”
It is not mentioned for study 3.
However, they noted some necessary assumptions and limitations that might have indirectly impacted the analyses. 
"The resulting necessary polytomization of moderator levels is likely to have somewhat attenuated potential moderator effects"​ </t>
      </text>
    </comment>
    <comment ref="CE38" authorId="462" shapeId="0" xr:uid="{1EC1B77E-DC7F-4877-B7EA-5E4AB18CD595}">
      <text>
        <t>[Threaded comment]
Your version of Excel allows you to read this threaded comment; however, any edits to it will get removed if the file is opened in a newer version of Excel. Learn more: https://go.microsoft.com/fwlink/?linkid=870924
Comment:
    It is shortly mentioned “This raises potential questions about publication bias (John et al., 2012). Generally, publication bias is expected to have the effect of inflating effect sizes. However, this is not likely to be a major issue for this study. “</t>
      </text>
    </comment>
    <comment ref="CS38" authorId="463" shapeId="0" xr:uid="{A5E4EF93-E483-4EF3-86B2-EE2AACE59DC4}">
      <text>
        <t xml:space="preserve">[Threaded comment]
Your version of Excel allows you to read this threaded comment; however, any edits to it will get removed if the file is opened in a newer version of Excel. Learn more: https://go.microsoft.com/fwlink/?linkid=870924
Comment:
    "We systematically examine the sources of differences in FFM intercorrelations using second-order meta-analysis and meta-regression." 
"We fit second-order meta-regressions to estimate the proportion of observed nonartifactual variability in mean FFM correlations accounted for by each moderator." </t>
      </text>
    </comment>
    <comment ref="CZ38" authorId="464" shapeId="0" xr:uid="{C77C7579-842D-434A-91AF-D874A44B1729}">
      <text>
        <t>[Threaded comment]
Your version of Excel allows you to read this threaded comment; however, any edits to it will get removed if the file is opened in a newer version of Excel. Learn more: https://go.microsoft.com/fwlink/?linkid=870924
Comment:
    “Second-order meta-analyses were conducted using the psychmeta package (Version 2.3.4; Dahlke &amp; Wiernik, 2018) in R (Version 3.5.3; R Core Team, 2019) “</t>
      </text>
    </comment>
    <comment ref="DC38" authorId="465" shapeId="0" xr:uid="{06FD0C1C-A499-493D-B192-F8314F829E66}">
      <text>
        <t xml:space="preserve">[Threaded comment]
Your version of Excel allows you to read this threaded comment; however, any edits to it will get removed if the file is opened in a newer version of Excel. Learn more: https://go.microsoft.com/fwlink/?linkid=870924
Comment:
    "Forest plots for meta-analytic mean correlations for each pair of FFM traits are shown in Figures 2–11" </t>
      </text>
    </comment>
    <comment ref="DE38" authorId="466" shapeId="0" xr:uid="{F4163209-3311-41B6-8236-A46C4D92E0D2}">
      <text>
        <t>[Threaded comment]
Your version of Excel allows you to read this threaded comment; however, any edits to it will get removed if the file is opened in a newer version of Excel. Learn more: https://go.microsoft.com/fwlink/?linkid=870924
Comment:
    Table 5</t>
      </text>
    </comment>
    <comment ref="DF38" authorId="467" shapeId="0" xr:uid="{885ED27D-BCB2-4EE9-93B9-C9CBEE00BA0B}">
      <text>
        <t>[Threaded comment]
Your version of Excel allows you to read this threaded comment; however, any edits to it will get removed if the file is opened in a newer version of Excel. Learn more: https://go.microsoft.com/fwlink/?linkid=870924
Comment:
    Table 6-7</t>
      </text>
    </comment>
    <comment ref="DG38" authorId="468" shapeId="0" xr:uid="{F880C2B3-A28F-48E6-BDAB-6F70B1DC2E2E}">
      <text>
        <t>[Threaded comment]
Your version of Excel allows you to read this threaded comment; however, any edits to it will get removed if the file is opened in a newer version of Excel. Learn more: https://go.microsoft.com/fwlink/?linkid=870924
Comment:
    Table 7</t>
      </text>
    </comment>
    <comment ref="DI38" authorId="469" shapeId="0" xr:uid="{2895352E-8F69-4A6B-88E0-D8E031C55FB9}">
      <text>
        <t xml:space="preserve">[Threaded comment]
Your version of Excel allows you to read this threaded comment; however, any edits to it will get removed if the file is opened in a newer version of Excel. Learn more: https://go.microsoft.com/fwlink/?linkid=870924
Comment:
    "Figures depicting moderator effects are available in the online supplemental materials"​ </t>
      </text>
    </comment>
    <comment ref="DJ38" authorId="470" shapeId="0" xr:uid="{8D54F11D-62E5-4BB8-95AF-864AF490DFB3}">
      <text>
        <t>[Threaded comment]
Your version of Excel allows you to read this threaded comment; however, any edits to it will get removed if the file is opened in a newer version of Excel. Learn more: https://go.microsoft.com/fwlink/?linkid=870924
Comment:
    Mentioned in the limitation “Further, as discussed in the Publication Status section of Study 3, any potential impacts of publication bias on FFM intercorrelations would be complex and might include both inflating and attenuating effects.“</t>
      </text>
    </comment>
    <comment ref="DK38" authorId="471" shapeId="0" xr:uid="{A63A2EBD-E750-425B-B7D8-9B4CBE3FD7E0}">
      <text>
        <t xml:space="preserve">[Threaded comment]
Your version of Excel allows you to read this threaded comment; however, any edits to it will get removed if the file is opened in a newer version of Excel. Learn more: https://go.microsoft.com/fwlink/?linkid=870924
Comment:
    "We strongly advocate for increased transparency in reporting for meta-analyses and adherence to the APA Meta-Analytic Reporting Standards (Appelbaum et al., 2018). Meta-analyses must provide the full meta-analytic database in an open (nonproprietary), machine-readable format." </t>
      </text>
    </comment>
    <comment ref="DS38" authorId="472" shapeId="0" xr:uid="{6E838881-C810-48DC-98A6-DC95ACB81840}">
      <text>
        <t>[Threaded comment]
Your version of Excel allows you to read this threaded comment; however, any edits to it will get removed if the file is opened in a newer version of Excel. Learn more: https://go.microsoft.com/fwlink/?linkid=870924
Comment:
    Supplementary 2</t>
      </text>
    </comment>
    <comment ref="DT38" authorId="473" shapeId="0" xr:uid="{7495FD38-6CDD-463A-9B1C-4E119C4484A9}">
      <text>
        <t>[Threaded comment]
Your version of Excel allows you to read this threaded comment; however, any edits to it will get removed if the file is opened in a newer version of Excel. Learn more: https://go.microsoft.com/fwlink/?linkid=870924
Comment:
    Supplementary 5</t>
      </text>
    </comment>
    <comment ref="DU38" authorId="474" shapeId="0" xr:uid="{921E1148-B288-4DF5-B7D6-5481346B4960}">
      <text>
        <t>[Threaded comment]
Your version of Excel allows you to read this threaded comment; however, any edits to it will get removed if the file is opened in a newer version of Excel. Learn more: https://go.microsoft.com/fwlink/?linkid=870924
Comment:
    Supplementary 4</t>
      </text>
    </comment>
    <comment ref="AC39" authorId="475" shapeId="0" xr:uid="{831FE9DE-BE82-4AD1-94B4-EB926D7953C8}">
      <text>
        <t xml:space="preserve">[Threaded comment]
Your version of Excel allows you to read this threaded comment; however, any edits to it will get removed if the file is opened in a newer version of Excel. Learn more: https://go.microsoft.com/fwlink/?linkid=870924
Comment:
    Counted primary studies in supplementary ”data sheet 3” </t>
      </text>
    </comment>
    <comment ref="AO39" authorId="476" shapeId="0" xr:uid="{DE1C0BE4-9DF0-4195-B6D1-587E4E74B29D}">
      <text>
        <t xml:space="preserve">[Threaded comment]
Your version of Excel allows you to read this threaded comment; however, any edits to it will get removed if the file is opened in a newer version of Excel. Learn more: https://go.microsoft.com/fwlink/?linkid=870924
Comment:
    Not specified, however, Cross-sectional and longitudinal seem to be typical designs in intelligence research. </t>
      </text>
    </comment>
    <comment ref="BF39" authorId="477" shapeId="0" xr:uid="{032BDCF1-0127-4FE2-BDC3-A8A5CD7E1B95}">
      <text>
        <t xml:space="preserve">[Threaded comment]
Your version of Excel allows you to read this threaded comment; however, any edits to it will get removed if the file is opened in a newer version of Excel. Learn more: https://go.microsoft.com/fwlink/?linkid=870924
Comment:
    The coding was done twice, but by the same rater:
"Full texts of all search hits were obtained and coded twice into categories by the same experienced researcher (JP)" 
However, this might be considered:
"Discrepancies between the first and second coding run were resolved through discussion with another independent researcher (MS)"​ </t>
      </text>
    </comment>
    <comment ref="CD39" authorId="478" shapeId="0" xr:uid="{A3F0EA65-2161-4C1C-91B5-02CEB29BE2E2}">
      <text>
        <t xml:space="preserve">[Threaded comment]
Your version of Excel allows you to read this threaded comment; however, any edits to it will get removed if the file is opened in a newer version of Excel. Learn more: https://go.microsoft.com/fwlink/?linkid=870924
Comment:
    "We calculated single precision-weighted (i.e., according to the inverse variances of primary studies) mixed-effects meta-regressions... </t>
      </text>
    </comment>
    <comment ref="CE39" authorId="479" shapeId="0" xr:uid="{E994B3DB-0A94-4FB1-A92E-33F18E4256BD}">
      <text>
        <t xml:space="preserve">[Threaded comment]
Your version of Excel allows you to read this threaded comment; however, any edits to it will get removed if the file is opened in a newer version of Excel. Learn more: https://go.microsoft.com/fwlink/?linkid=870924
Comment:
    "We applied eight different methods to assess indications of potential dissemination bias within the individual meta-analyses"​ </t>
      </text>
    </comment>
    <comment ref="CF39" authorId="480" shapeId="0" xr:uid="{49509B2E-EDB4-4F43-B414-74A56A3B4355}">
      <text>
        <t>[Threaded comment]
Your version of Excel allows you to read this threaded comment; however, any edits to it will get removed if the file is opened in a newer version of Excel. Learn more: https://go.microsoft.com/fwlink/?linkid=870924
Comment:
    ”Consequently, we used the trim-and-fill method (Duval and Tweedie, 2000), Begg and Mazumdar’s rank correlation test (Begg and Mazumdar, 1994), Sterne and Egger’s regression approach (Sterne and Egger, 2005), excess significance testing (Ioannidis and Trikalinos, 2007), p-uniform (Simonsohn et al., 2014), p-curve (van Assen et al., 2015), a selection model approach (Vevea and Woods, 2005), and PET-PEESE (Stanley and Doucouliagos, 2014). ”</t>
      </text>
    </comment>
    <comment ref="CL39" authorId="481" shapeId="0" xr:uid="{82D6D5C8-5ED3-4C64-994B-FCE3FCB2F705}">
      <text>
        <t xml:space="preserve">[Threaded comment]
Your version of Excel allows you to read this threaded comment; however, any edits to it will get removed if the file is opened in a newer version of Excel. Learn more: https://go.microsoft.com/fwlink/?linkid=870924
Comment:
    ”Neither I² values nor maximum differences between I² estimates..." </t>
      </text>
    </comment>
    <comment ref="CS39" authorId="482" shapeId="0" xr:uid="{F0CA9E9C-B024-4B2D-9E37-D24C62E7252C}">
      <text>
        <t xml:space="preserve">[Threaded comment]
Your version of Excel allows you to read this threaded comment; however, any edits to it will get removed if the file is opened in a newer version of Excel. Learn more: https://go.microsoft.com/fwlink/?linkid=870924
Comment:
    The moderators included initial study sample size, effect size strength, citation numbers, impact factor of the journal, and publication year. 
"In a series of single precision-weighted mixed-effects and fixed-effect meta-regressions... we investigated influences of (i) initial study sample sizes, effect sizes... on both effect misestimations in general and effect declines in particular"​ </t>
      </text>
    </comment>
    <comment ref="CW39" authorId="483" shapeId="0" xr:uid="{0CB7B7FA-9FB3-499A-A4A3-C1C5FDE1ED23}">
      <text>
        <t xml:space="preserve">[Threaded comment]
Your version of Excel allows you to read this threaded comment; however, any edits to it will get removed if the file is opened in a newer version of Excel. Learn more: https://go.microsoft.com/fwlink/?linkid=870924
Comment:
    "Sensitivity analyses showed that bias indications... were not driven by outlier-related between-studies heterogeneity..."​ </t>
      </text>
    </comment>
    <comment ref="CY39" authorId="484" shapeId="0" xr:uid="{8C504FC6-8EA4-43BB-8C37-ACFF5D278A4F}">
      <text>
        <t xml:space="preserve">[Threaded comment]
Your version of Excel allows you to read this threaded comment; however, any edits to it will get removed if the file is opened in a newer version of Excel. Learn more: https://go.microsoft.com/fwlink/?linkid=870924
Comment:
    "Results of our power analyses showed that the average primary study had 50.24% power..."​ </t>
      </text>
    </comment>
    <comment ref="DA39" authorId="485" shapeId="0" xr:uid="{26EF6197-5778-4B15-A2C1-1187248C8B91}">
      <text>
        <t>[Threaded comment]
Your version of Excel allows you to read this threaded comment; however, any edits to it will get removed if the file is opened in a newer version of Excel. Learn more: https://go.microsoft.com/fwlink/?linkid=870924
Comment:
    ”A flowchart of study inclusion and study references including reasons for exclusion can be found in the Supplementary Figure S1 and Supplementary Data Sheet S2. ”</t>
      </text>
    </comment>
    <comment ref="DD39" authorId="486" shapeId="0" xr:uid="{2222D949-A882-40A6-A1CE-2EFD94FF1C58}">
      <text>
        <t>[Threaded comment]
Your version of Excel allows you to read this threaded comment; however, any edits to it will get removed if the file is opened in a newer version of Excel. Learn more: https://go.microsoft.com/fwlink/?linkid=870924
Comment:
    Figure 2.  lightning plot showing cumulative effect changes over time. 
Figure 1 and 3. histogram plot (illustrating the average power of primary studies across meta-analyses. )</t>
      </text>
    </comment>
    <comment ref="DF39" authorId="487" shapeId="0" xr:uid="{F3D47168-A647-454A-9736-0C8EB2154992}">
      <text>
        <t>[Threaded comment]
Your version of Excel allows you to read this threaded comment; however, any edits to it will get removed if the file is opened in a newer version of Excel. Learn more: https://go.microsoft.com/fwlink/?linkid=870924
Comment:
    Table 1 and Table 2</t>
      </text>
    </comment>
    <comment ref="DG39" authorId="488" shapeId="0" xr:uid="{FF3B990E-74FE-456C-B4D4-42519DB74C15}">
      <text>
        <t>[Threaded comment]
Your version of Excel allows you to read this threaded comment; however, any edits to it will get removed if the file is opened in a newer version of Excel. Learn more: https://go.microsoft.com/fwlink/?linkid=870924
Comment:
    Table 2</t>
      </text>
    </comment>
    <comment ref="DJ39" authorId="489" shapeId="0" xr:uid="{D86542C4-C72B-4748-82BB-96DA0C42F032}">
      <text>
        <t>[Threaded comment]
Your version of Excel allows you to read this threaded comment; however, any edits to it will get removed if the file is opened in a newer version of Excel. Learn more: https://go.microsoft.com/fwlink/?linkid=870924
Comment:
    In ”Limitations” part of the paper</t>
      </text>
    </comment>
    <comment ref="DK39" authorId="490" shapeId="0" xr:uid="{718ED8C1-E84B-459B-A926-2923C459FF46}">
      <text>
        <t>[Threaded comment]
Your version of Excel allows you to read this threaded comment; however, any edits to it will get removed if the file is opened in a newer version of Excel. Learn more: https://go.microsoft.com/fwlink/?linkid=870924
Comment:
    In introduction ”Increasing transparency in scientific processes such as data sharing, (exploratory) study preregistration, but also self- (or independent) replication preceding the publication of exploratory findings may be suitable approaches to strengthen the credibility of empirical research in general and psychological science in particular.”</t>
      </text>
    </comment>
    <comment ref="DS39" authorId="491" shapeId="0" xr:uid="{E25B3C7A-EBB9-4EA0-81F4-829DCE891FA5}">
      <text>
        <t>[Threaded comment]
Your version of Excel allows you to read this threaded comment; however, any edits to it will get removed if the file is opened in a newer version of Excel. Learn more: https://go.microsoft.com/fwlink/?linkid=870924
Comment:
    Supplementary Datasheet 3 and 4</t>
      </text>
    </comment>
    <comment ref="DT39" authorId="492" shapeId="0" xr:uid="{6097487E-C3AA-43E2-A423-09C6685843C7}">
      <text>
        <t>[Threaded comment]
Your version of Excel allows you to read this threaded comment; however, any edits to it will get removed if the file is opened in a newer version of Excel. Learn more: https://go.microsoft.com/fwlink/?linkid=870924
Comment:
    Supplementary data sheet S4</t>
      </text>
    </comment>
    <comment ref="DU39" authorId="493" shapeId="0" xr:uid="{8ACA5746-47C5-4160-87B9-F13AA7CE2114}">
      <text>
        <t>[Threaded comment]
Your version of Excel allows you to read this threaded comment; however, any edits to it will get removed if the file is opened in a newer version of Excel. Learn more: https://go.microsoft.com/fwlink/?linkid=870924
Comment:
    Supplementary Data sheet 2 and 3</t>
      </text>
    </comment>
    <comment ref="BI40" authorId="494" shapeId="0" xr:uid="{7EA81C2A-0D08-48E7-A6C4-C440178B4357}">
      <text>
        <t>[Threaded comment]
Your version of Excel allows you to read this threaded comment; however, any edits to it will get removed if the file is opened in a newer version of Excel. Learn more: https://go.microsoft.com/fwlink/?linkid=870924
Comment:
    Double coding for quality</t>
      </text>
    </comment>
    <comment ref="G41" authorId="495" shapeId="0" xr:uid="{8D3BC122-13CD-4804-A842-A62C520A3609}">
      <text>
        <t>[Threaded comment]
Your version of Excel allows you to read this threaded comment; however, any edits to it will get removed if the file is opened in a newer version of Excel. Learn more: https://go.microsoft.com/fwlink/?linkid=870924
Comment:
    Might be considered psychology.</t>
      </text>
    </comment>
    <comment ref="AC41" authorId="496" shapeId="0" xr:uid="{78DDE74A-6F08-4AE8-8B4E-DE22841A9285}">
      <text>
        <t>[Threaded comment]
Your version of Excel allows you to read this threaded comment; however, any edits to it will get removed if the file is opened in a newer version of Excel. Learn more: https://go.microsoft.com/fwlink/?linkid=870924
Comment:
    ”The total number of effect sizes (k) across the 28 metaanalyses was 404 and the total number of participants (N) was 31,492 ”</t>
      </text>
    </comment>
    <comment ref="AW41" authorId="497" shapeId="0" xr:uid="{0132687E-0684-41AA-AFBC-DC8895E9CF83}">
      <text>
        <t xml:space="preserve">[Threaded comment]
Your version of Excel allows you to read this threaded comment; however, any edits to it will get removed if the file is opened in a newer version of Excel. Learn more: https://go.microsoft.com/fwlink/?linkid=870924
Comment:
    "Most meta-analyses reported effect sizes in the form of a standardized mean difference, Cohen’s d or Hedges’ g, but 1 reported odds ratios. To facilitate data aggregation, odds ratios were converted to Cohen’s d"​ </t>
      </text>
    </comment>
    <comment ref="BF41" authorId="498" shapeId="0" xr:uid="{A41E7F9A-E949-463D-97D6-1720A8000450}">
      <text>
        <t xml:space="preserve">[Threaded comment]
Your version of Excel allows you to read this threaded comment; however, any edits to it will get removed if the file is opened in a newer version of Excel. Learn more: https://go.microsoft.com/fwlink/?linkid=870924
Comment:
    "Coding of each meta-analysis was done by 2 raters (i.e., the first and third authors)"​ </t>
      </text>
    </comment>
    <comment ref="BG41" authorId="499" shapeId="0" xr:uid="{FBB9519B-5308-4DA3-9A48-7B6B89E207BD}">
      <text>
        <t xml:space="preserve">[Threaded comment]
Your version of Excel allows you to read this threaded comment; however, any edits to it will get removed if the file is opened in a newer version of Excel. Learn more: https://go.microsoft.com/fwlink/?linkid=870924
Comment:
    "Disagreements between raters were resolved through discussion (all κ &gt; 0.86) </t>
      </text>
    </comment>
    <comment ref="BJ41" authorId="500" shapeId="0" xr:uid="{1CA7897B-B82A-43C3-A930-850F77A4A9EA}">
      <text>
        <t xml:space="preserve">[Threaded comment]
Your version of Excel allows you to read this threaded comment; however, any edits to it will get removed if the file is opened in a newer version of Excel. Learn more: https://go.microsoft.com/fwlink/?linkid=870924
Comment:
    "To promote independence of observation, articles were evaluated to identify meta-analyses that were reliant upon the same or similar samples"​ </t>
      </text>
    </comment>
    <comment ref="BN41" authorId="501" shapeId="0" xr:uid="{532B42F8-CF1E-4676-98F9-045ED62558DE}">
      <text>
        <t xml:space="preserve">[Threaded comment]
Your version of Excel allows you to read this threaded comment; however, any edits to it will get removed if the file is opened in a newer version of Excel. Learn more: https://go.microsoft.com/fwlink/?linkid=870924
Comment:
    "The methodological quality of included meta-analyses was coded using 5 criteria outlined in previous work" </t>
      </text>
    </comment>
    <comment ref="BO41" authorId="502" shapeId="0" xr:uid="{AC5CC9BD-84F6-41E2-8BB9-8946A31F7E8B}">
      <text>
        <t>[Threaded comment]
Your version of Excel allows you to read this threaded comment; however, any edits to it will get removed if the file is opened in a newer version of Excel. Learn more: https://go.microsoft.com/fwlink/?linkid=870924
Comment:
    ”Additionally, the methodological quality of included metaanalyses was coded using 5 criteria outlined in previous work: (1) the eligibility criteria for the studies included in the metaanalysis was clearly stated, (2) the search for studies included in the meta-analysis used at least 3 sources, including 1 electronic source, (3) coding of studies was done by at least two independent raters, (4) a strategy was used to assess statistical heterogeneity, and (5) the primary synthesis method was clearly stated (see Higgins et al. 2013). ”</t>
      </text>
    </comment>
    <comment ref="BQ41" authorId="503" shapeId="0" xr:uid="{661A79E1-7AFB-4DC8-95C0-B9C0FBC0066A}">
      <text>
        <t>[Threaded comment]
Your version of Excel allows you to read this threaded comment; however, any edits to it will get removed if the file is opened in a newer version of Excel. Learn more: https://go.microsoft.com/fwlink/?linkid=870924
Comment:
    "These 5 criteria were coded dichotomously (1 = criteria met, 0 = criteria not met) and summed to create an index of methodological quality (M = 4.64, SD = 0.56, range = [3, 5])"​</t>
      </text>
    </comment>
    <comment ref="BT41" authorId="504" shapeId="0" xr:uid="{65C37A8A-8296-4AF4-BA39-1B0B91AA6511}">
      <text>
        <t>[Threaded comment]
Your version of Excel allows you to read this threaded comment; however, any edits to it will get removed if the file is opened in a newer version of Excel. Learn more: https://go.microsoft.com/fwlink/?linkid=870924
Comment:
     "Past research found that unweighted averages in meta-analysis tend to perform as well or better in predicting population effects than averages that weight by study sample size or other criteria"</t>
      </text>
    </comment>
    <comment ref="CC41" authorId="505" shapeId="0" xr:uid="{B270E466-FD09-4DF7-821F-A802791C01E0}">
      <text>
        <t xml:space="preserve">[Threaded comment]
Your version of Excel allows you to read this threaded comment; however, any edits to it will get removed if the file is opened in a newer version of Excel. Learn more: https://go.microsoft.com/fwlink/?linkid=870924
Comment:
    "When meta-analyses reported effect sizes indexing the effect of meditation on multiple health outcomes, these effects were averaged before entering them into the final model"​ </t>
      </text>
    </comment>
    <comment ref="CD41" authorId="506" shapeId="0" xr:uid="{FA4B68B2-6884-49AD-9179-3B21D8F01006}">
      <text>
        <t>[Threaded comment]
Your version of Excel allows you to read this threaded comment; however, any edits to it will get removed if the file is opened in a newer version of Excel. Learn more: https://go.microsoft.com/fwlink/?linkid=870924
Comment:
    By averaging effect sizes for multiple health outcomes within each meta-analysis before including them in the final analysis</t>
      </text>
    </comment>
    <comment ref="CE41" authorId="507" shapeId="0" xr:uid="{9B74A6BA-B2FC-D846-9E50-DAE490679A58}">
      <text>
        <t>[Threaded comment]
Your version of Excel allows you to read this threaded comment; however, any edits to it will get removed if the file is opened in a newer version of Excel. Learn more: https://go.microsoft.com/fwlink/?linkid=870924
Comment:
    The authors bias analyzed publication bias by examining whether included meta-analyses had conducted publication bias tests.
"Publication bias was assessed in 11 of the included meta-analyses, of which 6 reported Egger’s test for funnel plot asymmetry and 5 analyzed the symmetry of funnel plots without mentioning Egger’s test"​</t>
      </text>
    </comment>
    <comment ref="CL41" authorId="508" shapeId="0" xr:uid="{F2EC8C9C-DE7B-40F6-9A90-3452E218C1A0}">
      <text>
        <t xml:space="preserve">[Threaded comment]
Your version of Excel allows you to read this threaded comment; however, any edits to it will get removed if the file is opened in a newer version of Excel. Learn more: https://go.microsoft.com/fwlink/?linkid=870924
Comment:
    The authors did not perform their own heterogeneity analysis. Instead, they summarized heterogeneity findings reported in the included meta-analyses. 
"Of the 24 meta-analyses that reported heterogeneity tests, 21 (88%) indicated that significantly heterogeneous effects were obtained"​ </t>
      </text>
    </comment>
    <comment ref="CR41" authorId="509" shapeId="0" xr:uid="{1E523D86-D5F3-4837-8873-33C1FFA9B3C2}">
      <text>
        <t xml:space="preserve">[Threaded comment]
Your version of Excel allows you to read this threaded comment; however, any edits to it will get removed if the file is opened in a newer version of Excel. Learn more: https://go.microsoft.com/fwlink/?linkid=870924
Comment:
    "Moderation tests provide tentative evidence suggesting that the effect of meditation varies as a function of the type of meditation and health outcome under consideration"​ </t>
      </text>
    </comment>
    <comment ref="CS41" authorId="510" shapeId="0" xr:uid="{699570D7-3C9F-4297-9AD8-F7674E587379}">
      <text>
        <t xml:space="preserve">[Threaded comment]
Your version of Excel allows you to read this threaded comment; however, any edits to it will get removed if the file is opened in a newer version of Excel. Learn more: https://go.microsoft.com/fwlink/?linkid=870924
Comment:
    The authors divided the data into subgroups based on variables such as the type of meditation, health outcome category, and sample characteristics, and compared the effect sizes between these groups. </t>
      </text>
    </comment>
    <comment ref="CW41" authorId="511" shapeId="0" xr:uid="{E6911794-2467-4CA2-A061-0C8B491F5601}">
      <text>
        <t xml:space="preserve">[Threaded comment]
Your version of Excel allows you to read this threaded comment; however, any edits to it will get removed if the file is opened in a newer version of Excel. Learn more: https://go.microsoft.com/fwlink/?linkid=870924
Comment:
    Sensitivity analyses were conducted to test how excluding or including certain studies (e.g., low-quality studies) affected the results.
"The effect of meditation was slightly larger when low-quality studies were included (d = 0.33) versus excluded (d = 0.24)"
</t>
      </text>
    </comment>
    <comment ref="DA41" authorId="512" shapeId="0" xr:uid="{21D8A352-CDC0-4F4D-A691-036751BBC4CF}">
      <text>
        <t>[Threaded comment]
Your version of Excel allows you to read this threaded comment; however, any edits to it will get removed if the file is opened in a newer version of Excel. Learn more: https://go.microsoft.com/fwlink/?linkid=870924
Comment:
    Figure 1</t>
      </text>
    </comment>
    <comment ref="DD41" authorId="513" shapeId="0" xr:uid="{B383A7EB-1815-4265-BF64-537C90F971C3}">
      <text>
        <t>[Threaded comment]
Your version of Excel allows you to read this threaded comment; however, any edits to it will get removed if the file is opened in a newer version of Excel. Learn more: https://go.microsoft.com/fwlink/?linkid=870924
Comment:
    Figure 2</t>
      </text>
    </comment>
    <comment ref="DE41" authorId="514" shapeId="0" xr:uid="{0DB80F92-3B2D-4E1D-8E04-528E207CB617}">
      <text>
        <t xml:space="preserve">[Threaded comment]
Your version of Excel allows you to read this threaded comment; however, any edits to it will get removed if the file is opened in a newer version of Excel. Learn more: https://go.microsoft.com/fwlink/?linkid=870924
Comment:
    Supplemental Table 1
</t>
      </text>
    </comment>
    <comment ref="DF41" authorId="515" shapeId="0" xr:uid="{91199450-274F-46A6-BFF1-C434D9FDE949}">
      <text>
        <t xml:space="preserve">[Threaded comment]
Your version of Excel allows you to read this threaded comment; however, any edits to it will get removed if the file is opened in a newer version of Excel. Learn more: https://go.microsoft.com/fwlink/?linkid=870924
Comment:
    Supplemental Table 7 </t>
      </text>
    </comment>
    <comment ref="DG41" authorId="516" shapeId="0" xr:uid="{1830516D-39D4-4A20-B8BA-A947B3DC792E}">
      <text>
        <t xml:space="preserve">[Threaded comment]
Your version of Excel allows you to read this threaded comment; however, any edits to it will get removed if the file is opened in a newer version of Excel. Learn more: https://go.microsoft.com/fwlink/?linkid=870924
Comment:
    Supplemental Table 6 </t>
      </text>
    </comment>
    <comment ref="DJ41" authorId="517" shapeId="0" xr:uid="{0ADABD2D-0DB1-4624-882B-7521AA3B5750}">
      <text>
        <t>[Threaded comment]
Your version of Excel allows you to read this threaded comment; however, any edits to it will get removed if the file is opened in a newer version of Excel. Learn more: https://go.microsoft.com/fwlink/?linkid=870924
Comment:
    In ”Limitations …” section</t>
      </text>
    </comment>
    <comment ref="AE42" authorId="518" shapeId="0" xr:uid="{67E05526-942C-4065-8DCC-63C3E1A647B6}">
      <text>
        <t>[Threaded comment]
Your version of Excel allows you to read this threaded comment; however, any edits to it will get removed if the file is opened in a newer version of Excel. Learn more: https://go.microsoft.com/fwlink/?linkid=870924
Comment:
    ”written in English (due to logistical constraints)”</t>
      </text>
    </comment>
    <comment ref="AG42" authorId="519" shapeId="0" xr:uid="{D10401D2-496D-4EE6-ACF7-340C0D385C64}">
      <text>
        <t xml:space="preserve">[Threaded comment]
Your version of Excel allows you to read this threaded comment; however, any edits to it will get removed if the file is opened in a newer version of Excel. Learn more: https://go.microsoft.com/fwlink/?linkid=870924
Comment:
    "Our meta-review prospectively excluded gray literature and reviews in other languages" </t>
      </text>
    </comment>
    <comment ref="AI42" authorId="520" shapeId="0" xr:uid="{4828BCD4-B516-44A2-8F32-CBE1A444CFDF}">
      <text>
        <t>[Threaded comment]
Your version of Excel allows you to read this threaded comment; however, any edits to it will get removed if the file is opened in a newer version of Excel. Learn more: https://go.microsoft.com/fwlink/?linkid=870924
Comment:
    Supplementary file 2 (page 4)</t>
      </text>
    </comment>
    <comment ref="AJ42" authorId="521" shapeId="0" xr:uid="{8229931B-FDF2-4465-904D-63C8647BE1CC}">
      <text>
        <t xml:space="preserve">[Threaded comment]
Your version of Excel allows you to read this threaded comment; however, any edits to it will get removed if the file is opened in a newer version of Excel. Learn more: https://go.microsoft.com/fwlink/?linkid=870924
Comment:
    "Titles and abstracts were screened in duplicate; full-text articles were screened in duplicate." </t>
      </text>
    </comment>
    <comment ref="AO42" authorId="522" shapeId="0" xr:uid="{43546670-9BE2-4F10-B675-E7D76D18EB7E}">
      <text>
        <t xml:space="preserve">[Threaded comment]
Your version of Excel allows you to read this threaded comment; however, any edits to it will get removed if the file is opened in a newer version of Excel. Learn more: https://go.microsoft.com/fwlink/?linkid=870924
Comment:
    "Many interventions were only tested in laboratories or in experiments with relatively trivial amounts of money (&lt; $10)." </t>
      </text>
    </comment>
    <comment ref="AW42" authorId="523" shapeId="0" xr:uid="{803171D1-7A4E-443A-913C-94BB15F73847}">
      <text>
        <t xml:space="preserve">[Threaded comment]
Your version of Excel allows you to read this threaded comment; however, any edits to it will get removed if the file is opened in a newer version of Excel. Learn more: https://go.microsoft.com/fwlink/?linkid=870924
Comment:
    "We extracted quantitative estimates from reviews that included meta-analyses and converted them to the most commonly used metric (r)." </t>
      </text>
    </comment>
    <comment ref="BF42" authorId="524" shapeId="0" xr:uid="{C76739AE-F30E-4CB4-A9F9-C3601AA76518}">
      <text>
        <t xml:space="preserve">[Threaded comment]
Your version of Excel allows you to read this threaded comment; however, any edits to it will get removed if the file is opened in a newer version of Excel. Learn more: https://go.microsoft.com/fwlink/?linkid=870924
Comment:
    "Included papers were extracted in duplicate." </t>
      </text>
    </comment>
    <comment ref="BR42" authorId="525" shapeId="0" xr:uid="{4E535EE1-BDE1-40F4-BDDD-203344CDD276}">
      <text>
        <t xml:space="preserve">[Threaded comment]
Your version of Excel allows you to read this threaded comment; however, any edits to it will get removed if the file is opened in a newer version of Excel. Learn more: https://go.microsoft.com/fwlink/?linkid=870924
Comment:
    "Despite being mostly systematic reviews of randomized trials—which are the best causal evidence for effects of interventions—we judged the certainty of all effects to be low." </t>
      </text>
    </comment>
    <comment ref="CL42" authorId="526" shapeId="0" xr:uid="{457DB81C-104C-4B3C-B328-7CFB22337137}">
      <text>
        <t>[Threaded comment]
Your version of Excel allows you to read this threaded comment; however, any edits to it will get removed if the file is opened in a newer version of Excel. Learn more: https://go.microsoft.com/fwlink/?linkid=870924
Comment:
    "These effects were heterogeneous between reviews (I² = 0.85)”</t>
      </text>
    </comment>
    <comment ref="CR42" authorId="527" shapeId="0" xr:uid="{B470DAA3-C446-4299-A538-9623F39389F3}">
      <text>
        <t>[Threaded comment]
Your version of Excel allows you to read this threaded comment; however, any edits to it will get removed if the file is opened in a newer version of Excel. Learn more: https://go.microsoft.com/fwlink/?linkid=870924
Comment:
    ”… then conducted moderation analyses to assess whether interventions were homogenous within mechanism and outcome”</t>
      </text>
    </comment>
    <comment ref="DA42" authorId="528" shapeId="0" xr:uid="{AFFD195E-3D14-4F7D-9166-D711DA0369B8}">
      <text>
        <t>[Threaded comment]
Your version of Excel allows you to read this threaded comment; however, any edits to it will get removed if the file is opened in a newer version of Excel. Learn more: https://go.microsoft.com/fwlink/?linkid=870924
Comment:
    Figure 1</t>
      </text>
    </comment>
    <comment ref="DC42" authorId="529" shapeId="0" xr:uid="{B671B49E-61E9-4886-8130-35CF9788E144}">
      <text>
        <t>[Threaded comment]
Your version of Excel allows you to read this threaded comment; however, any edits to it will get removed if the file is opened in a newer version of Excel. Learn more: https://go.microsoft.com/fwlink/?linkid=870924
Comment:
    Figure 2 and figure 3</t>
      </text>
    </comment>
    <comment ref="DE42" authorId="530" shapeId="0" xr:uid="{A24F941F-BABB-433C-997E-21C2927DE44A}">
      <text>
        <t>[Threaded comment]
Your version of Excel allows you to read this threaded comment; however, any edits to it will get removed if the file is opened in a newer version of Excel. Learn more: https://go.microsoft.com/fwlink/?linkid=870924
Comment:
    Table 1</t>
      </text>
    </comment>
    <comment ref="DH42" authorId="531" shapeId="0" xr:uid="{85B53A4B-6D50-4A65-8B81-5663B5ECE3F4}">
      <text>
        <t>[Threaded comment]
Your version of Excel allows you to read this threaded comment; however, any edits to it will get removed if the file is opened in a newer version of Excel. Learn more: https://go.microsoft.com/fwlink/?linkid=870924
Comment:
    Supplementary Table S1</t>
      </text>
    </comment>
    <comment ref="DJ42" authorId="532" shapeId="0" xr:uid="{EAC09F86-0F55-4957-89FB-C585B3143481}">
      <text>
        <t>[Threaded comment]
Your version of Excel allows you to read this threaded comment; however, any edits to it will get removed if the file is opened in a newer version of Excel. Learn more: https://go.microsoft.com/fwlink/?linkid=870924
Comment:
    ”due to limitations in many of the included systematic reviews (e.g., many did not assess the quality of included studies; much neglected publication bias)”</t>
      </text>
    </comment>
    <comment ref="DP42" authorId="533" shapeId="0" xr:uid="{EF5CFCE2-CBFC-4B5C-814F-941A5240E06C}">
      <text>
        <t>[Threaded comment]
Your version of Excel allows you to read this threaded comment; however, any edits to it will get removed if the file is opened in a newer version of Excel. Learn more: https://go.microsoft.com/fwlink/?linkid=870924
Comment:
    "Our meta-review was prospectively registered on the Open Science Framework (https://osf.io/465ej/)”</t>
      </text>
    </comment>
    <comment ref="DT42" authorId="534" shapeId="0" xr:uid="{505AE04D-A8E1-46EE-BBF9-C8E4D952343E}">
      <text>
        <t xml:space="preserve">[Threaded comment]
Your version of Excel allows you to read this threaded comment; however, any edits to it will get removed if the file is opened in a newer version of Excel. Learn more: https://go.microsoft.com/fwlink/?linkid=870924
Comment:
    "Raw data and code for reproducing the analyses are available at https://osf.io/465ej/." </t>
      </text>
    </comment>
    <comment ref="W43" authorId="535" shapeId="0" xr:uid="{23A85CB8-E01F-8B47-BAC6-8A8CF6AB0291}">
      <text>
        <t>[Threaded comment]
Your version of Excel allows you to read this threaded comment; however, any edits to it will get removed if the file is opened in a newer version of Excel. Learn more: https://go.microsoft.com/fwlink/?linkid=870924
Comment:
    Appendix B</t>
      </text>
    </comment>
    <comment ref="AA43" authorId="536" shapeId="0" xr:uid="{4FDD23D3-6A19-744B-A235-D021C369373B}">
      <text>
        <t>[Threaded comment]
Your version of Excel allows you to read this threaded comment; however, any edits to it will get removed if the file is opened in a newer version of Excel. Learn more: https://go.microsoft.com/fwlink/?linkid=870924
Comment:
    “Model 3 (k = 233) extended Model 2 by adding six meta-analyses assessing the far-transfer effects of other cognitive-training programs (video-games, music, chess, and exergames)”</t>
      </text>
    </comment>
    <comment ref="AB43" authorId="537" shapeId="0" xr:uid="{2D090C49-4907-804F-B8CE-597E5906E8A8}">
      <text>
        <t>[Threaded comment]
Your version of Excel allows you to read this threaded comment; however, any edits to it will get removed if the file is opened in a newer version of Excel. Learn more: https://go.microsoft.com/fwlink/?linkid=870924
Comment:
    “The total number of effect sizes, clusters, and participants included were n = 1,555, k = 332, and N = 21,968, respectively“</t>
      </text>
    </comment>
    <comment ref="AD43" authorId="538" shapeId="0" xr:uid="{A39ECBF9-E031-B146-BBFB-7149E5730D2A}">
      <text>
        <t xml:space="preserve">[Threaded comment]
Your version of Excel allows you to read this threaded comment; however, any edits to it will get removed if the file is opened in a newer version of Excel. Learn more: https://go.microsoft.com/fwlink/?linkid=870924
Comment:
    "We selected four meta-analyses including typically developing (TD) children (Sala &amp; Gobet, 2017b), children with learning disabilities (LD; a subsample of Melby-Lervåg et al., 2016), healthy adults (a subsample of Melby-Lervåg et al., 2016), and healthy older adults and older adults with mild cognitive impairment (Sala, Aksayli, Tatlidil, Gondo, &amp; Gobet, 2018a)." </t>
      </text>
    </comment>
    <comment ref="AO43" authorId="539" shapeId="0" xr:uid="{77E2B218-20FB-5A44-8151-5D53C335FABD}">
      <text>
        <t xml:space="preserve">[Threaded comment]
Your version of Excel allows you to read this threaded comment; however, any edits to it will get removed if the file is opened in a newer version of Excel. Learn more: https://go.microsoft.com/fwlink/?linkid=870924
Comment:
    "The primary study included at least one control group."  
And "The primary study included a pre-test to assess baseline effects." </t>
      </text>
    </comment>
    <comment ref="AW43" authorId="540" shapeId="0" xr:uid="{6C567258-7C56-4E4D-958A-FB7A709621E2}">
      <text>
        <t xml:space="preserve">[Threaded comment]
Your version of Excel allows you to read this threaded comment; however, any edits to it will get removed if the file is opened in a newer version of Excel. Learn more: https://go.microsoft.com/fwlink/?linkid=870924
Comment:
    "The effect size used in all the meta-analyses was the corrected standardized mean difference, that is, Hedges’ g (Hedges &amp; Olkin, 1985)." </t>
      </text>
    </comment>
    <comment ref="BF43" authorId="541" shapeId="0" xr:uid="{1FD15741-90F1-B846-8F11-ADE109A015B9}">
      <text>
        <t xml:space="preserve">[Threaded comment]
Your version of Excel allows you to read this threaded comment; however, any edits to it will get removed if the file is opened in a newer version of Excel. Learn more: https://go.microsoft.com/fwlink/?linkid=870924
Comment:
    "Two coders independently judged whether the primary studies implemented such an active control group." </t>
      </text>
    </comment>
    <comment ref="BH43" authorId="542" shapeId="0" xr:uid="{FBFD39D6-3C42-5E41-A4DF-98512548AC01}">
      <text>
        <t xml:space="preserve">[Threaded comment]
Your version of Excel allows you to read this threaded comment; however, any edits to it will get removed if the file is opened in a newer version of Excel. Learn more: https://go.microsoft.com/fwlink/?linkid=870924
Comment:
    “Regarding the type of control group (active vs. non-active), there was 100% inter-rater agreement." </t>
      </text>
    </comment>
    <comment ref="BJ43" authorId="543" shapeId="0" xr:uid="{E59259DF-64D6-DD47-B227-D484266B7E7F}">
      <text>
        <t xml:space="preserve">[Threaded comment]
Your version of Excel allows you to read this threaded comment; however, any edits to it will get removed if the file is opened in a newer version of Excel. Learn more: https://go.microsoft.com/fwlink/?linkid=870924
Comment:
    "Second-order meta-analysis assumes the first-order meta-analyses to be statistically independent, that is, no study can be included in more than one meta-analysis." </t>
      </text>
    </comment>
    <comment ref="BN43" authorId="544" shapeId="0" xr:uid="{019A03A5-34D7-1342-AE19-6C036BBA0162}">
      <text>
        <t>[Threaded comment]
Your version of Excel allows you to read this threaded comment; however, any edits to it will get removed if the file is opened in a newer version of Excel. Learn more: https://go.microsoft.com/fwlink/?linkid=870924
Comment:
    “We established four inclusion criteria to guarantee a minimum standard of design quality in the primary studies: …”</t>
      </text>
    </comment>
    <comment ref="BQ43" authorId="545" shapeId="0" xr:uid="{FE81E8C9-11D2-AB4A-950A-2A59C0977A7D}">
      <text>
        <t xml:space="preserve">[Threaded comment]
Your version of Excel allows you to read this threaded comment; however, any edits to it will get removed if the file is opened in a newer version of Excel. Learn more: https://go.microsoft.com/fwlink/?linkid=870924
Comment:
    "The primary study included at least one control group; the primary study included a pre-test to assess baseline effects; the experimental samples were not self-selected." </t>
      </text>
    </comment>
    <comment ref="BR43" authorId="546" shapeId="0" xr:uid="{B2CF077B-694C-4042-B9F9-7A53D91DC75F}">
      <text>
        <t xml:space="preserve">[Threaded comment]
Your version of Excel allows you to read this threaded comment; however, any edits to it will get removed if the file is opened in a newer version of Excel. Learn more: https://go.microsoft.com/fwlink/?linkid=870924
Comment:
    "This additional analysis was performed as a sensitivity analysis to control for the overall effect sizes, publication-bias estimates, and true between-study heterogeneity calculated in the first-order meta-analyses." </t>
      </text>
    </comment>
    <comment ref="BT43" authorId="547" shapeId="0" xr:uid="{4B9584E5-B778-D149-9AEC-E134C5DA3A28}">
      <text>
        <t xml:space="preserve">[Threaded comment]
Your version of Excel allows you to read this threaded comment; however, any edits to it will get removed if the file is opened in a newer version of Excel. Learn more: https://go.microsoft.com/fwlink/?linkid=870924
Comment:
    "We used random-effect models for all the first-order meta-analyses."
"Second-order meta-analysis aims to estimate to what extent second-order sampling error accounts for the difference across overall meta-analytic means in a set of first-order meta-analyses regarding a particular topic."
</t>
      </text>
    </comment>
    <comment ref="CD43" authorId="548" shapeId="0" xr:uid="{CC6E60C3-4C2C-974A-8C92-40A65211BA8A}">
      <text>
        <t xml:space="preserve">[Threaded comment]
Your version of Excel allows you to read this threaded comment; however, any edits to it will get removed if the file is opened in a newer version of Excel. Learn more: https://go.microsoft.com/fwlink/?linkid=870924
Comment:
    "We performed a parallel set of meta-analytic models using the Robust Variance Estimation method (RVE; Hedges et al., 2010)." 
"We use Cheung and Chan’s (2014) samplewise-adjusted-individual correction. This technique has been designed to estimate an adjusted variance based on (a) the number of the dependent effect sizes and (b) inter-effect-size correlation." </t>
      </text>
    </comment>
    <comment ref="CE43" authorId="549" shapeId="0" xr:uid="{96406C7E-1EFD-9A4F-A4EC-A8627FE17582}">
      <text>
        <t xml:space="preserve">[Threaded comment]
Your version of Excel allows you to read this threaded comment; however, any edits to it will get removed if the file is opened in a newer version of Excel. Learn more: https://go.microsoft.com/fwlink/?linkid=870924
Comment:
    "We therefore ran a set of publication bias analyses for all the first-order meta-analyses and built a parallel set of second-order meta-analyses using publication-bias corrected estimates." </t>
      </text>
    </comment>
    <comment ref="CL43" authorId="550" shapeId="0" xr:uid="{AE4891E4-17C0-2141-B2B0-9CD8360E6726}">
      <text>
        <t xml:space="preserve">[Threaded comment]
Your version of Excel allows you to read this threaded comment; however, any edits to it will get removed if the file is opened in a newer version of Excel. Learn more: https://go.microsoft.com/fwlink/?linkid=870924
Comment:
    "The test of heterogeneity was significant, Q = 189.08, τ² = 0.036, p &lt; .001." </t>
      </text>
    </comment>
    <comment ref="CR43" authorId="551" shapeId="0" xr:uid="{1530CF48-82B6-8543-BBF7-D792CD707BBB}">
      <text>
        <t xml:space="preserve">[Threaded comment]
Your version of Excel allows you to read this threaded comment; however, any edits to it will get removed if the file is opened in a newer version of Excel. Learn more: https://go.microsoft.com/fwlink/?linkid=870924
Comment:
    "Meta-regression was used to identify the role of population type as a moderator in Models 1 and 2." </t>
      </text>
    </comment>
    <comment ref="CW43" authorId="552" shapeId="0" xr:uid="{2F1BF0E2-B3D7-6B48-BD80-F275509AB951}">
      <text>
        <t xml:space="preserve">[Threaded comment]
Your version of Excel allows you to read this threaded comment; however, any edits to it will get removed if the file is opened in a newer version of Excel. Learn more: https://go.microsoft.com/fwlink/?linkid=870924
Comment:
    "We also ran an omnibus meta-analysis—that is, a first-order meta-analysis including all the primary studies of all the first-order meta-analyses—for each of the three models. This additional analysis was performed as a sensitivity analysis." </t>
      </text>
    </comment>
    <comment ref="DF43" authorId="553" shapeId="0" xr:uid="{2E5614ED-52B8-444E-8ADD-6576DE1B4AB6}">
      <text>
        <t>[Threaded comment]
Your version of Excel allows you to read this threaded comment; however, any edits to it will get removed if the file is opened in a newer version of Excel. Learn more: https://go.microsoft.com/fwlink/?linkid=870924
Comment:
    E.g table 12</t>
      </text>
    </comment>
    <comment ref="DJ43" authorId="554" shapeId="0" xr:uid="{AFB4F33A-FD4B-7546-9DC0-18A706E4FF26}">
      <text>
        <t>[Threaded comment]
Your version of Excel allows you to read this threaded comment; however, any edits to it will get removed if the file is opened in a newer version of Excel. Learn more: https://go.microsoft.com/fwlink/?linkid=870924
Comment:
    “Moreover, the impact of publication bias on the overall results appears to be somewhat limited.”</t>
      </text>
    </comment>
    <comment ref="E44" authorId="555" shapeId="0" xr:uid="{9358F8A4-37B7-4A34-BBD0-63FBCAD82253}">
      <text>
        <t>[Threaded comment]
Your version of Excel allows you to read this threaded comment; however, any edits to it will get removed if the file is opened in a newer version of Excel. Learn more: https://go.microsoft.com/fwlink/?linkid=870924
Comment:
    2017?</t>
      </text>
    </comment>
    <comment ref="AI44" authorId="556" shapeId="0" xr:uid="{5D4104A7-DF46-4D21-9418-AB4ECBCD3808}">
      <text>
        <t>[Threaded comment]
Your version of Excel allows you to read this threaded comment; however, any edits to it will get removed if the file is opened in a newer version of Excel. Learn more: https://go.microsoft.com/fwlink/?linkid=870924
Comment:
    In appendix</t>
      </text>
    </comment>
    <comment ref="AJ44" authorId="557" shapeId="0" xr:uid="{A2C41BAA-BDC3-4AE1-A9CD-C98040DAABD8}">
      <text>
        <t>[Threaded comment]
Your version of Excel allows you to read this threaded comment; however, any edits to it will get removed if the file is opened in a newer version of Excel. Learn more: https://go.microsoft.com/fwlink/?linkid=870924
Comment:
    “The titles and abstracts retrieved from implementing the search strategy were screened by 2 independent assessors. Citations of systematic reviews deemed potentially relevant were selected, and the full-text articles were retrieved for complete screening. The final eligibility of full texts was determined by the same 2 reviewers, with disagreements resolved through consensus.”</t>
      </text>
    </comment>
    <comment ref="AK44" authorId="558" shapeId="0" xr:uid="{90B45EDC-EA2B-4845-8933-CA8D338C814F}">
      <text>
        <t>[Threaded comment]
Your version of Excel allows you to read this threaded comment; however, any edits to it will get removed if the file is opened in a newer version of Excel. Learn more: https://go.microsoft.com/fwlink/?linkid=870924
Comment:
    ”disagreements resolved through consensus”</t>
      </text>
    </comment>
    <comment ref="AW44" authorId="559" shapeId="0" xr:uid="{BC349EDD-5F6F-43F4-B630-5B97DEA3CA11}">
      <text>
        <t xml:space="preserve">[Threaded comment]
Your version of Excel allows you to read this threaded comment; however, any edits to it will get removed if the file is opened in a newer version of Excel. Learn more: https://go.microsoft.com/fwlink/?linkid=870924
Comment:
    "To calculate ESs, data on means, measures of variability (SDs and 95% confidence intervals [CIs]), and sample sizes were extracted for 1 outcome per trial, which was the primary outcome specified by the review/meta-analysis authors. If the review/meta-analysis primary outcome was binary (not continuous), not specified by the review/meta-analysis authors, or its meta-analysis did not include at least 5 trials, data were extracted on the continuous outcome of the meta-analysis with the largest number of included trials"​ </t>
      </text>
    </comment>
    <comment ref="BF44" authorId="560" shapeId="0" xr:uid="{A5018201-055E-4359-8346-D1DBC47CC6A6}">
      <text>
        <t xml:space="preserve">[Threaded comment]
Your version of Excel allows you to read this threaded comment; however, any edits to it will get removed if the file is opened in a newer version of Excel. Learn more: https://go.microsoft.com/fwlink/?linkid=870924
Comment:
    "Data were extracted in duplicate by 2 independent assessors, with disagreements resolved through a consensus meeting"​ </t>
      </text>
    </comment>
    <comment ref="BP44" authorId="561" shapeId="0" xr:uid="{81F2F099-9309-4E50-8A5E-4BB72790A7BF}">
      <text>
        <t xml:space="preserve">[Threaded comment]
Your version of Excel allows you to read this threaded comment; however, any edits to it will get removed if the file is opened in a newer version of Excel. Learn more: https://go.microsoft.com/fwlink/?linkid=870924
Comment:
    The Cochrane Risk of Bias tool was used to assess methodological quality by evaluating key domains such as random sequence generation, allocation concealment, and baseline comparability. Each domain was rated as "low," "high," or "unclear" risk of bias.
"To assess selection bias in the selected RCTs, 3 methodological domains of the Cochrane Collaboration’s Risk of Bias tool relevant to selection bias (Higgins et al. 2011) were examined: random sequence generation, allocation concealment, and baseline comparability"​
</t>
      </text>
    </comment>
    <comment ref="BQ44" authorId="562" shapeId="0" xr:uid="{419FF0B0-BE4E-4DBD-8D57-DB26C1806314}">
      <text>
        <t>[Threaded comment]
Your version of Excel allows you to read this threaded comment; however, any edits to it will get removed if the file is opened in a newer version of Excel. Learn more: https://go.microsoft.com/fwlink/?linkid=870924
Comment:
    quality was represented by assessing random sequence generation, allocation concealment, and baseline comparability. Each item was scored as high, low, or unclear risk</t>
      </text>
    </comment>
    <comment ref="BR44" authorId="563" shapeId="0" xr:uid="{ED400A49-E888-4C7D-BC56-CB3D40AA6CC3}">
      <text>
        <t xml:space="preserve">[Threaded comment]
Your version of Excel allows you to read this threaded comment; however, any edits to it will get removed if the file is opened in a newer version of Excel. Learn more: https://go.microsoft.com/fwlink/?linkid=870924
Comment:
    "Authors of systematic reviews using oral health randomized controlled trials should perform sensitivity analyses based on the adequacy of sequence generation and allocation concealment" </t>
      </text>
    </comment>
    <comment ref="BS44" authorId="564" shapeId="0" xr:uid="{7DA3F0F8-ABFE-484C-B3C3-41BC3006FC68}">
      <text>
        <t>[Threaded comment]
Your version of Excel allows you to read this threaded comment; however, any edits to it will get removed if the file is opened in a newer version of Excel. Learn more: https://go.microsoft.com/fwlink/?linkid=870924
Comment:
    Wouldn’t we call this a 3-level SOMA?</t>
      </text>
    </comment>
    <comment ref="CS44" authorId="565" shapeId="0" xr:uid="{D1F15FC0-213F-4D89-AD47-799790E20197}">
      <text>
        <t xml:space="preserve">[Threaded comment]
Your version of Excel allows you to read this threaded comment; however, any edits to it will get removed if the file is opened in a newer version of Excel. Learn more: https://go.microsoft.com/fwlink/?linkid=870924
Comment:
    "The results of the stratified analyses showed that differences in treatment ES estimates between trials with adequate and inadequate/unknown sequence generation were significant"​ 
"To determine the impact of potential additional factors (dental specialty, type of outcome, magnitude of treatment effect estimate, effect of heterogeneity of meta-analysis on treatment ES estimates), the meta-epidemiological analysis was stratified"​ 
"Interaction tests accompanying these stratified analyses were based on Z scores according to the following factors: magnitude of treatment effect estimate (large vs. small), heterogeneity of meta-analysis, type of outcome (objective vs. subjective), and dental specialty" 
</t>
      </text>
    </comment>
    <comment ref="DE44" authorId="566" shapeId="0" xr:uid="{AF93E6E4-E695-4F4D-8207-5C6AE3384EFB}">
      <text>
        <t>[Threaded comment]
Your version of Excel allows you to read this threaded comment; however, any edits to it will get removed if the file is opened in a newer version of Excel. Learn more: https://go.microsoft.com/fwlink/?linkid=870924
Comment:
    Appendix Table 1</t>
      </text>
    </comment>
    <comment ref="W45" authorId="567" shapeId="0" xr:uid="{350E39F2-4FF6-4678-A865-1B669612FBFF}">
      <text>
        <t>[Threaded comment]
Your version of Excel allows you to read this threaded comment; however, any edits to it will get removed if the file is opened in a newer version of Excel. Learn more: https://go.microsoft.com/fwlink/?linkid=870924
Comment:
    Table 1</t>
      </text>
    </comment>
    <comment ref="AE45" authorId="568" shapeId="0" xr:uid="{E8742802-6AE9-4C82-9F59-4AA832E1A2C6}">
      <text>
        <t xml:space="preserve">[Threaded comment]
Your version of Excel allows you to read this threaded comment; however, any edits to it will get removed if the file is opened in a newer version of Excel. Learn more: https://go.microsoft.com/fwlink/?linkid=870924
Comment:
    "We performed a standardized search... limited to English or German language." </t>
      </text>
    </comment>
    <comment ref="AJ45" authorId="569" shapeId="0" xr:uid="{AA645BAE-4CEE-4E60-99FF-7257C710C554}">
      <text>
        <t xml:space="preserve">[Threaded comment]
Your version of Excel allows you to read this threaded comment; however, any edits to it will get removed if the file is opened in a newer version of Excel. Learn more: https://go.microsoft.com/fwlink/?linkid=870924
Comment:
    "Two trained and independent raters (Rater A and Rater B) both screened a little over 25% of the same titles and abstracts for inclusion." 
"Two raters (Rater A and Rater C) independently screened 49 full texts for inclusion in the meta-analysis." </t>
      </text>
    </comment>
    <comment ref="AK45" authorId="570" shapeId="0" xr:uid="{2FD9E474-C566-47F9-AF82-B68598F854D6}">
      <text>
        <t xml:space="preserve">[Threaded comment]
Your version of Excel allows you to read this threaded comment; however, any edits to it will get removed if the file is opened in a newer version of Excel. Learn more: https://go.microsoft.com/fwlink/?linkid=870924
Comment:
    "Their inter-rater agreement for the inclusion of studies based on the abstracts was 84%."
“The inter-rater agreement for the inclusion of the full-texts was 81%." </t>
      </text>
    </comment>
    <comment ref="AM45" authorId="571" shapeId="0" xr:uid="{D38A50FC-4DC4-4360-AC74-77237A83EC49}">
      <text>
        <t xml:space="preserve">[Threaded comment]
Your version of Excel allows you to read this threaded comment; however, any edits to it will get removed if the file is opened in a newer version of Excel. Learn more: https://go.microsoft.com/fwlink/?linkid=870924
Comment:
    The original values show that 25% of titles and abstracts were screened, while 15.45% of full texts (49 out of 317) were reviewed. To provide a more comprehensive estimate, we have averaged these values, resulting in an overall screening rate of 20.23%. 
"Two trained and independent raters (Rater A and Rater B) both screened a little over 25% of the same titles and abstracts for inclusion."
"Two raters (Rater A and Rater C) independently screened 49 full texts for inclusion in the meta-analysis." </t>
      </text>
    </comment>
    <comment ref="AO45" authorId="572" shapeId="0" xr:uid="{BEAAC9A8-433B-4649-ACC1-F11E3674F788}">
      <text>
        <t>[Threaded comment]
Your version of Excel allows you to read this threaded comment; however, any edits to it will get removed if the file is opened in a newer version of Excel. Learn more: https://go.microsoft.com/fwlink/?linkid=870924
Comment:
    This indicates that the primary study designs in the included meta-analyses were primarily experimental, such as RCTs:
"Whenever a control group was employed, the intervention and the control group differed only in terms of patient education."</t>
      </text>
    </comment>
    <comment ref="AW45" authorId="573" shapeId="0" xr:uid="{7B13B48B-AF94-46A8-A2A4-70FF296F4AA9}">
      <text>
        <t>[Threaded comment]
Your version of Excel allows you to read this threaded comment; however, any edits to it will get removed if the file is opened in a newer version of Excel. Learn more: https://go.microsoft.com/fwlink/?linkid=870924
Comment:
    See under ”Preparation of effect sizes and statistical analyses ” part in the paper</t>
      </text>
    </comment>
    <comment ref="BF45" authorId="574" shapeId="0" xr:uid="{49205FF2-4F4C-4B73-9337-9BD4F25FE5FF}">
      <text>
        <t xml:space="preserve">[Threaded comment]
Your version of Excel allows you to read this threaded comment; however, any edits to it will get removed if the file is opened in a newer version of Excel. Learn more: https://go.microsoft.com/fwlink/?linkid=870924
Comment:
    "Two trained and independent raters (Rater A and Rater C) double coded 61 full texts (reporting 73% of the included effect sizes)." </t>
      </text>
    </comment>
    <comment ref="BG45" authorId="575" shapeId="0" xr:uid="{60488C30-912B-4ADD-B733-D85551FA9FB5}">
      <text>
        <t xml:space="preserve">[Threaded comment]
Your version of Excel allows you to read this threaded comment; however, any edits to it will get removed if the file is opened in a newer version of Excel. Learn more: https://go.microsoft.com/fwlink/?linkid=870924
Comment:
    "The inter-rater agreement for the coding of all moderators and effect sizes was 96%." </t>
      </text>
    </comment>
    <comment ref="BI45" authorId="576" shapeId="0" xr:uid="{13E48E77-3F3E-428D-9E33-0C0118739C7F}">
      <text>
        <t xml:space="preserve">[Threaded comment]
Your version of Excel allows you to read this threaded comment; however, any edits to it will get removed if the file is opened in a newer version of Excel. Learn more: https://go.microsoft.com/fwlink/?linkid=870924
Comment:
    "Two trained and independent raters (Rater A and Rater C) double coded 61 full texts (reporting 73% of the included effect sizes)." 
</t>
      </text>
    </comment>
    <comment ref="BJ45" authorId="577" shapeId="0" xr:uid="{0B21DE3D-1A1E-4B03-8795-46A0625D7E3A}">
      <text>
        <t>[Threaded comment]
Your version of Excel allows you to read this threaded comment; however, any edits to it will get removed if the file is opened in a newer version of Excel. Learn more: https://go.microsoft.com/fwlink/?linkid=870924
Comment:
    "Whenever there was overlap between meta-analyses, we included only the most recent of these meta-analyses, which was usually also the largest."</t>
      </text>
    </comment>
    <comment ref="BQ45" authorId="578" shapeId="0" xr:uid="{5736C86E-6834-4756-B856-B05EF93BC68E}">
      <text>
        <t>[Threaded comment]
Your version of Excel allows you to read this threaded comment; however, any edits to it will get removed if the file is opened in a newer version of Excel. Learn more: https://go.microsoft.com/fwlink/?linkid=870924
Comment:
    "Quality ratings assessed by AMSTAR-2... indicated only low and critically low methodological quality. The critical weaknesses of the specific meta-analyses are presented in the last column of Table 1." 
In table 1 items are kept separate.</t>
      </text>
    </comment>
    <comment ref="BR45" authorId="579" shapeId="0" xr:uid="{85610DB1-4075-4B3E-ADBC-4111C4D78359}">
      <text>
        <t xml:space="preserve">[Threaded comment]
Your version of Excel allows you to read this threaded comment; however, any edits to it will get removed if the file is opened in a newer version of Excel. Learn more: https://go.microsoft.com/fwlink/?linkid=870924
Comment:
    "The main limitations of the current review are those of the meta-analyses included, which mirror the limitations of the primary studies. Quality ratings assessed by AMSTAR-2... indicated only low and critically low methodological quality." </t>
      </text>
    </comment>
    <comment ref="CE45" authorId="580" shapeId="0" xr:uid="{EDD1A3D4-0A08-4B77-AB4E-310E8D9BCCE3}">
      <text>
        <t xml:space="preserve">[Threaded comment]
Your version of Excel allows you to read this threaded comment; however, any edits to it will get removed if the file is opened in a newer version of Excel. Learn more: https://go.microsoft.com/fwlink/?linkid=870924
Comment:
    "We performed analyses of publication bias using a funnel plot... considering all effect sizes included in our second order meta-analysis." </t>
      </text>
    </comment>
    <comment ref="CL45" authorId="581" shapeId="0" xr:uid="{A6523FC1-935A-4093-B9A8-3C198E8D17D5}">
      <text>
        <t xml:space="preserve">[Threaded comment]
Your version of Excel allows you to read this threaded comment; however, any edits to it will get removed if the file is opened in a newer version of Excel. Learn more: https://go.microsoft.com/fwlink/?linkid=870924
Comment:
    "The proportion of the observed variance explained by the second order sampling variance was ProVar = 0.101, indicating meaningful variability between meta-analyses." </t>
      </text>
    </comment>
    <comment ref="CS45" authorId="582" shapeId="0" xr:uid="{A7736117-9815-47CE-BD01-6EFC041D606D}">
      <text>
        <t xml:space="preserve">[Threaded comment]
Your version of Excel allows you to read this threaded comment; however, any edits to it will get removed if the file is opened in a newer version of Excel. Learn more: https://go.microsoft.com/fwlink/?linkid=870924
Comment:
    "We performed several moderator analyses based on the 156 meta-analytic effects described in the following." </t>
      </text>
    </comment>
    <comment ref="CW45" authorId="583" shapeId="0" xr:uid="{36B83584-02C1-4D2B-B5EC-8F9BBE3BC271}">
      <text>
        <t>[Threaded comment]
Your version of Excel allows you to read this threaded comment; however, any edits to it will get removed if the file is opened in a newer version of Excel. Learn more: https://go.microsoft.com/fwlink/?linkid=870924
Comment:
    "We conducted sensitivity analyses by removing the outlier from estimating the overall effect size."</t>
      </text>
    </comment>
    <comment ref="CX45" authorId="584" shapeId="0" xr:uid="{AC24667E-5F51-4E2F-8C03-8D6AEEB6E78B}">
      <text>
        <t xml:space="preserve">[Threaded comment]
Your version of Excel allows you to read this threaded comment; however, any edits to it will get removed if the file is opened in a newer version of Excel. Learn more: https://go.microsoft.com/fwlink/?linkid=870924
Comment:
    "We performed additional exploratory analyses to test whether patient education was also effective for enhancing knowledge and skills, and positive health behavior, because these are possible mediators." </t>
      </text>
    </comment>
    <comment ref="DA45" authorId="585" shapeId="0" xr:uid="{5873B5BA-2E44-4AB1-A75B-F309B8FB9E81}">
      <text>
        <t>[Threaded comment]
Your version of Excel allows you to read this threaded comment; however, any edits to it will get removed if the file is opened in a newer version of Excel. Learn more: https://go.microsoft.com/fwlink/?linkid=870924
Comment:
    Figure 1</t>
      </text>
    </comment>
    <comment ref="DB45" authorId="586" shapeId="0" xr:uid="{07AC9AFC-1A2C-4260-A819-DE7E77D2C7A2}">
      <text>
        <t>[Threaded comment]
Your version of Excel allows you to read this threaded comment; however, any edits to it will get removed if the file is opened in a newer version of Excel. Learn more: https://go.microsoft.com/fwlink/?linkid=870924
Comment:
    Figure 2</t>
      </text>
    </comment>
    <comment ref="DE45" authorId="587" shapeId="0" xr:uid="{FB8EDD60-CE02-48E3-AA71-AC370F5D7D2F}">
      <text>
        <t>[Threaded comment]
Your version of Excel allows you to read this threaded comment; however, any edits to it will get removed if the file is opened in a newer version of Excel. Learn more: https://go.microsoft.com/fwlink/?linkid=870924
Comment:
    Table 1</t>
      </text>
    </comment>
    <comment ref="DF45" authorId="588" shapeId="0" xr:uid="{B8306FF7-E295-4DA1-9DE7-0D1CD6541DBD}">
      <text>
        <t>[Threaded comment]
Your version of Excel allows you to read this threaded comment; however, any edits to it will get removed if the file is opened in a newer version of Excel. Learn more: https://go.microsoft.com/fwlink/?linkid=870924
Comment:
    Table 2</t>
      </text>
    </comment>
    <comment ref="DH45" authorId="589" shapeId="0" xr:uid="{51B5E794-AFEC-4272-BDDB-687DE3FF43EA}">
      <text>
        <t>[Threaded comment]
Your version of Excel allows you to read this threaded comment; however, any edits to it will get removed if the file is opened in a newer version of Excel. Learn more: https://go.microsoft.com/fwlink/?linkid=870924
Comment:
    Table 1 last column</t>
      </text>
    </comment>
    <comment ref="DJ45" authorId="590" shapeId="0" xr:uid="{542676DB-C7D5-194E-9162-A3F670A7464A}">
      <text>
        <t>[Threaded comment]
Your version of Excel allows you to read this threaded comment; however, any edits to it will get removed if the file is opened in a newer version of Excel. Learn more: https://go.microsoft.com/fwlink/?linkid=870924
Comment:
    It is not discussed, but only mentioned in introduction</t>
      </text>
    </comment>
    <comment ref="DM45" authorId="591" shapeId="0" xr:uid="{43461DBA-AED6-4167-951E-D464C94D007B}">
      <text>
        <t xml:space="preserve">[Threaded comment]
Your version of Excel allows you to read this threaded comment; however, any edits to it will get removed if the file is opened in a newer version of Excel. Learn more: https://go.microsoft.com/fwlink/?linkid=870924
Comment:
    "Due to limited data from the first-order meta-analyses, we were not able to investigate possible differential effects of patient education due to differences in the characteristics of the patients, for example, socioeconomic status or age, and their conditions, for example, acute vs chronic condition." </t>
      </text>
    </comment>
    <comment ref="AA46" authorId="592" shapeId="0" xr:uid="{B2A54F44-C82C-0E42-A841-9A26447B8B17}">
      <text>
        <t>[Threaded comment]
Your version of Excel allows you to read this threaded comment; however, any edits to it will get removed if the file is opened in a newer version of Excel. Learn more: https://go.microsoft.com/fwlink/?linkid=870924
Comment:
    See page 635 above the tables in pink.</t>
      </text>
    </comment>
    <comment ref="AC46" authorId="593" shapeId="0" xr:uid="{5BAA03FC-6F2E-43C0-ACEB-68A7C0DC29BC}">
      <text>
        <t>[Threaded comment]
Your version of Excel allows you to read this threaded comment; however, any edits to it will get removed if the file is opened in a newer version of Excel. Learn more: https://go.microsoft.com/fwlink/?linkid=870924
Comment:
    Table B.1 in Appendix B (N Per)</t>
      </text>
    </comment>
    <comment ref="AD46" authorId="594" shapeId="0" xr:uid="{C72B1A9C-E5C0-4BCC-988C-720EF6D15755}">
      <text>
        <t>[Threaded comment]
Your version of Excel allows you to read this threaded comment; however, any edits to it will get removed if the file is opened in a newer version of Excel. Learn more: https://go.microsoft.com/fwlink/?linkid=870924
Comment:
    The paper indicates a focus on educational achievement, primarily involving students across various educational levels as the subjects of analysis. However, there is no indication that only students were included.</t>
      </text>
    </comment>
    <comment ref="AE46" authorId="595" shapeId="0" xr:uid="{55299DD3-0769-4CB8-BF80-9F6EF5E1E9DD}">
      <text>
        <t xml:space="preserve">[Threaded comment]
Your version of Excel allows you to read this threaded comment; however, any edits to it will get removed if the file is opened in a newer version of Excel. Learn more: https://go.microsoft.com/fwlink/?linkid=870924
Comment:
    “Language = English" </t>
      </text>
    </comment>
    <comment ref="AG46" authorId="596" shapeId="0" xr:uid="{C87545EF-5A40-4B8D-9CAE-B44F83D977E8}">
      <text>
        <t xml:space="preserve">[Threaded comment]
Your version of Excel allows you to read this threaded comment; however, any edits to it will get removed if the file is opened in a newer version of Excel. Learn more: https://go.microsoft.com/fwlink/?linkid=870924
Comment:
    “Several authors recommend inclusion of unpublished studies in meta-analysis since unpublished studies are more likely to have nonsignificant results…” </t>
      </text>
    </comment>
    <comment ref="AH46" authorId="597" shapeId="0" xr:uid="{C5ED3289-961D-4A88-985A-A7000E04AB55}">
      <text>
        <t xml:space="preserve">[Threaded comment]
Your version of Excel allows you to read this threaded comment; however, any edits to it will get removed if the file is opened in a newer version of Excel. Learn more: https://go.microsoft.com/fwlink/?linkid=870924
Comment:
    The paper specifies that the goal was to locate “as many meta-analyses related to student achievement as possible” through a systematic database search focused on meta-analyses​ </t>
      </text>
    </comment>
    <comment ref="AO46" authorId="598" shapeId="0" xr:uid="{0CC13CA7-97ED-436B-95F6-14203A9F194F}">
      <text>
        <t>[Threaded comment]
Your version of Excel allows you to read this threaded comment; however, any edits to it will get removed if the file is opened in a newer version of Excel. Learn more: https://go.microsoft.com/fwlink/?linkid=870924
Comment:
    Table 5.10</t>
      </text>
    </comment>
    <comment ref="AW46" authorId="599" shapeId="0" xr:uid="{C0F5D6BC-78B9-424A-A83E-8BFFCCAD40CE}">
      <text>
        <t xml:space="preserve">[Threaded comment]
Your version of Excel allows you to read this threaded comment; however, any edits to it will get removed if the file is opened in a newer version of Excel. Learn more: https://go.microsoft.com/fwlink/?linkid=870924
Comment:
    The standardized difference between group means was the effect size metric used in all statistical computations. Correlational effect sizes were converted from an r to a Cohen's d which is a standardized difference between group means (Rosenthal, 1994, p. 239) </t>
      </text>
    </comment>
    <comment ref="BF46" authorId="600" shapeId="0" xr:uid="{F4A264CE-0EBC-4E6B-9402-FFF7115064B6}">
      <text>
        <t xml:space="preserve">[Threaded comment]
Your version of Excel allows you to read this threaded comment; however, any edits to it will get removed if the file is opened in a newer version of Excel. Learn more: https://go.microsoft.com/fwlink/?linkid=870924
Comment:
    “A total of five graduate students who were in a Ph.D. or Master's program in education and the senior author served as coders for this study…During Stage II coding, each document was coded by a pair of coders” </t>
      </text>
    </comment>
    <comment ref="BG46" authorId="601" shapeId="0" xr:uid="{34EE3A5F-6C3E-4E9B-9AF1-AEB131C436FE}">
      <text>
        <t xml:space="preserve">[Threaded comment]
Your version of Excel allows you to read this threaded comment; however, any edits to it will get removed if the file is opened in a newer version of Excel. Learn more: https://go.microsoft.com/fwlink/?linkid=870924
Comment:
    “Percent agreement was computed on the first and last five meta-analyses coded…Percent agreements for total agreement in the first and last five meta-analyses were 90.85% and 91.62% respectively with an average of 91.2%” </t>
      </text>
    </comment>
    <comment ref="BJ46" authorId="602" shapeId="0" xr:uid="{385FADA9-5222-427D-90C0-2A72B003C73B}">
      <text>
        <t>[Threaded comment]
Your version of Excel allows you to read this threaded comment; however, any edits to it will get removed if the file is opened in a newer version of Excel. Learn more: https://go.microsoft.com/fwlink/?linkid=870924
Comment:
    “Interdependence of studies is a potential problem in meta-analysis when the same sample is featured in multiple documents...an analogous problem can occur in a meta-synthesis when the same primary studies are included in two or more meta-analytic studies”</t>
      </text>
    </comment>
    <comment ref="BL46" authorId="603" shapeId="0" xr:uid="{B38CCC49-DDF0-4E61-911F-00B3F5BF8315}">
      <text>
        <t xml:space="preserve">[Threaded comment]
Your version of Excel allows you to read this threaded comment; however, any edits to it will get removed if the file is opened in a newer version of Excel. Learn more: https://go.microsoft.com/fwlink/?linkid=870924
Comment:
    "Outcome variables for the meta-analyses within the treatment domain were examined. If the outcome variables were similar, the reference lists were examined to determine the amount of primary study overlap"​ </t>
      </text>
    </comment>
    <comment ref="BT46" authorId="604" shapeId="0" xr:uid="{11BCE411-AEED-4EF0-8DCD-62E9A2C90882}">
      <text>
        <t xml:space="preserve">[Threaded comment]
Your version of Excel allows you to read this threaded comment; however, any edits to it will get removed if the file is opened in a newer version of Excel. Learn more: https://go.microsoft.com/fwlink/?linkid=870924
Comment:
    "The statistical analyses utilized in the substantive component consisted of descriptive statistics, stem and leaf plots, and analyses of variance. Post hoc comparisons were made using the Tukey procedure and the Scheffé procedure" 
"The total mean effect size was calculated from either the individual effect sizes from each primary study (first preference) or effect sizes from the categories of study characteristics (second preference)"​ </t>
      </text>
    </comment>
    <comment ref="CC46" authorId="605" shapeId="0" xr:uid="{FEA04274-F0E1-4B39-B164-A005A7A2F74D}">
      <text>
        <t xml:space="preserve">[Threaded comment]
Your version of Excel allows you to read this threaded comment; however, any edits to it will get removed if the file is opened in a newer version of Excel. Learn more: https://go.microsoft.com/fwlink/?linkid=870924
Comment:
    multiplicity was addressed by selecting and calculating a single weighted mean effect size per category to avoid duplication:
"The total mean effect size was calculated from either the individual effect sizes from each primary study (first preference) or effect sizes from the categories of study characteristics (second preference)"​
</t>
      </text>
    </comment>
    <comment ref="CF46" authorId="606" shapeId="0" xr:uid="{B6B66022-B93F-45ED-B5A8-B967065A5B16}">
      <text>
        <t xml:space="preserve">[Threaded comment]
Your version of Excel allows you to read this threaded comment; however, any edits to it will get removed if the file is opened in a newer version of Excel. Learn more: https://go.microsoft.com/fwlink/?linkid=870924
Comment:
    "Data were also analyzed using funnel plots, and the correlation coefficients Kendall's tau and Spearman's rho... A sensitivity analysis was conducted to explore possible relationships among various variables and effect sizes which could indicate publication bias" </t>
      </text>
    </comment>
    <comment ref="CM46" authorId="607" shapeId="0" xr:uid="{9477CFBF-3174-4080-94C9-9DD30E7C235B}">
      <text>
        <t>[Threaded comment]
Your version of Excel allows you to read this threaded comment; however, any edits to it will get removed if the file is opened in a newer version of Excel. Learn more: https://go.microsoft.com/fwlink/?linkid=870924
Comment:
    see pages 639 and 640.</t>
      </text>
    </comment>
    <comment ref="CW46" authorId="608" shapeId="0" xr:uid="{03AA627D-1667-48BB-86F1-B8AB79D31A35}">
      <text>
        <t xml:space="preserve">[Threaded comment]
Your version of Excel allows you to read this threaded comment; however, any edits to it will get removed if the file is opened in a newer version of Excel. Learn more: https://go.microsoft.com/fwlink/?linkid=870924
Comment:
    Here, sensitivtiy analyses seem to refer to a publication bias analysis. In the present review of SOMAs, we define sensitivity analyses as a check for robustness against the use of different methods, different samples, and the like.
"A sensitivity analysis was conducted to explore possible relationships among various variables and effect sizes which could indicate publication bias"​ </t>
      </text>
    </comment>
    <comment ref="DE46" authorId="609" shapeId="0" xr:uid="{31A98349-9949-4F21-AF48-49DA037E3F43}">
      <text>
        <t xml:space="preserve">[Threaded comment]
Your version of Excel allows you to read this threaded comment; however, any edits to it will get removed if the file is opened in a newer version of Excel. Learn more: https://go.microsoft.com/fwlink/?linkid=870924
Comment:
    Table B.1 in Appendix B presents an overall description of the meta-analyses grouped by the educational productivity factors </t>
      </text>
    </comment>
    <comment ref="DG46" authorId="610" shapeId="0" xr:uid="{1DB6BB64-01DA-45E1-BB40-F4D776B6B88A}">
      <text>
        <t xml:space="preserve">[Threaded comment]
Your version of Excel allows you to read this threaded comment; however, any edits to it will get removed if the file is opened in a newer version of Excel. Learn more: https://go.microsoft.com/fwlink/?linkid=870924
Comment:
    Tables with effect sizes by moderator-like characteristics (e.g., gender, SES) were provided:
"Table B.5 includes effect sizes for gender" and "Table B.6 includes effect sizes for SES"​
</t>
      </text>
    </comment>
    <comment ref="DJ46" authorId="611" shapeId="0" xr:uid="{ED3F7286-0328-4A96-91A5-74FC022D1C01}">
      <text>
        <t>[Threaded comment]
Your version of Excel allows you to read this threaded comment; however, any edits to it will get removed if the file is opened in a newer version of Excel. Learn more: https://go.microsoft.com/fwlink/?linkid=870924
Comment:
    In discussion</t>
      </text>
    </comment>
    <comment ref="DM46" authorId="612" shapeId="0" xr:uid="{6EDAD0D1-4A8E-E440-89EA-0E8DCD6E3529}">
      <text>
        <t>[Threaded comment]
Your version of Excel allows you to read this threaded comment; however, any edits to it will get removed if the file is opened in a newer version of Excel. Learn more: https://go.microsoft.com/fwlink/?linkid=870924
Comment:
    While not the diversity of samples was discessed, the authors noted that only published meta-analyses were used, raising concerns that the sample might not fully represent all relevant studies, particularly unpublished ones, which could impact diversity in the sample.
 "This bias is of concern since only published meta-analyses were used in this study"​</t>
      </text>
    </comment>
    <comment ref="DN46" authorId="613" shapeId="0" xr:uid="{3A2B14D1-9CC8-43CD-808B-D3567D66C41F}">
      <text>
        <t xml:space="preserve">[Threaded comment]
Your version of Excel allows you to read this threaded comment; however, any edits to it will get removed if the file is opened in a newer version of Excel. Learn more: https://go.microsoft.com/fwlink/?linkid=870924
Comment:
    “Meta-analytic studies should be designed so that differential effects among contextual characteristics such as gender or SES can be measured and reported... Investigation of publication bias in both meta-analytic and meta-synthesis research will increase confidence in the findings"​ </t>
      </text>
    </comment>
    <comment ref="DO46" authorId="614" shapeId="0" xr:uid="{74915E49-C7E3-41B9-A0FF-36BB86D7A5AD}">
      <text>
        <t xml:space="preserve">[Threaded comment]
Your version of Excel allows you to read this threaded comment; however, any edits to it will get removed if the file is opened in a newer version of Excel. Learn more: https://go.microsoft.com/fwlink/?linkid=870924
Comment:
    "This bias is of concern since only published meta-analyses were used in this study"​ 
"Many primary research articles do not include sample size for the experimental and control groups" 
"Differential effects among contextual characteristics... are often not reported" 
"Replication of a particular meta-analysis may be hampered by the lack of information available" 
</t>
      </text>
    </comment>
    <comment ref="W47" authorId="615" shapeId="0" xr:uid="{75AEFB35-1ABF-4F1D-8E0A-0B297B53EF5D}">
      <text>
        <t>[Threaded comment]
Your version of Excel allows you to read this threaded comment; however, any edits to it will get removed if the file is opened in a newer version of Excel. Learn more: https://go.microsoft.com/fwlink/?linkid=870924
Comment:
    Table 1 and 8</t>
      </text>
    </comment>
    <comment ref="AA47" authorId="616" shapeId="0" xr:uid="{F966021F-141C-40AB-9589-DA1D6245BAA4}">
      <text>
        <t>[Threaded comment]
Your version of Excel allows you to read this threaded comment; however, any edits to it will get removed if the file is opened in a newer version of Excel. Learn more: https://go.microsoft.com/fwlink/?linkid=870924
Comment:
    ”13 meta-analyses on ability grouping and six on acceleration met the inclusion criteria of the current second-order meta-analyses.”</t>
      </text>
    </comment>
    <comment ref="AB47" authorId="617" shapeId="0" xr:uid="{37C72014-F102-4592-A624-02488A8255A5}">
      <text>
        <t xml:space="preserve">[Threaded comment]
Your version of Excel allows you to read this threaded comment; however, any edits to it will get removed if the file is opened in a newer version of Excel. Learn more: https://go.microsoft.com/fwlink/?linkid=870924
Comment:
    Table 1:
51 + 28 + 78 + 50 + 109 + 43 + 4 + 18 + 29 + 124 + 27 + 15 + 66 = 642
Table 8:
3 + 9 + 1 + 5 + 8 + 10 + 9 + 3 + 4 + 11 + 8 + 10 + 6 + 5 + 5 + 8 + 2  + 6 + 3 + 2 + 11 + 14 + 2 + 7 + 1 + 5 + 11 + 5 + 4 + 1 + 2 + 4 + 1 + 9 + 11 + 6 + 28 =240
Total:
642 + 240 = 882
</t>
      </text>
    </comment>
    <comment ref="AC47" authorId="618" shapeId="0" xr:uid="{C2ECD62D-95B3-4991-A64B-D0AC47F99310}">
      <text>
        <t>[Threaded comment]
Your version of Excel allows you to read this threaded comment; however, any edits to it will get removed if the file is opened in a newer version of Excel. Learn more: https://go.microsoft.com/fwlink/?linkid=870924
Comment:
    “The 12 studies involved approximately 2,434 students of Grades 1 to 9 in the United States.”
“Six acceleration meta-analyses reviewed at least 125 unique primary studies that involved at least 75,582 participants.”</t>
      </text>
    </comment>
    <comment ref="AG47" authorId="619" shapeId="0" xr:uid="{F31D018F-F78B-48DD-B1D0-0C986D754002}">
      <text>
        <t>[Threaded comment]
Your version of Excel allows you to read this threaded comment; however, any edits to it will get removed if the file is opened in a newer version of Excel. Learn more: https://go.microsoft.com/fwlink/?linkid=870924
Comment:
    “It had a written document available, either published or unpublished.“</t>
      </text>
    </comment>
    <comment ref="AJ47" authorId="620" shapeId="0" xr:uid="{EC6269EE-DA76-40F8-96B7-6143A1B4A83F}">
      <text>
        <t xml:space="preserve">[Threaded comment]
Your version of Excel allows you to read this threaded comment; however, any edits to it will get removed if the file is opened in a newer version of Excel. Learn more: https://go.microsoft.com/fwlink/?linkid=870924
Comment:
    “Two authors read the full text of the 40 meta-analyses and determined that 13 meta-analyses on ability grouping and six on acceleration met the inclusion criteria of the current second-order meta-analyses” </t>
      </text>
    </comment>
    <comment ref="AO47" authorId="621" shapeId="0" xr:uid="{DE82863C-CCF0-477D-911B-A72EB0158D59}">
      <text>
        <t xml:space="preserve">[Threaded comment]
Your version of Excel allows you to read this threaded comment; however, any edits to it will get removed if the file is opened in a newer version of Excel. Learn more: https://go.microsoft.com/fwlink/?linkid=870924
Comment:
    “It included studies that had both treatment and control groups so that standardized mean differences were calculable” </t>
      </text>
    </comment>
    <comment ref="AW47" authorId="622" shapeId="0" xr:uid="{EADA3255-3960-48CE-86B5-AD6BF781E051}">
      <text>
        <t xml:space="preserve">[Threaded comment]
Your version of Excel allows you to read this threaded comment; however, any edits to it will get removed if the file is opened in a newer version of Excel. Learn more: https://go.microsoft.com/fwlink/?linkid=870924
Comment:
    “The majority of the 13 ability grouping meta-analyses used Cohen’s d or an equivalent of Cohen’s d (often called ‘standard deviation’) as ES indices, except Goldring (1990) who used ESs equivalent to Hedges’ g and Noland (1986) who used Glass’ Δ. All acceleration meta-analyses used Cohen’s d except Steenbergen-Hu and Moon (2011) who reported Hedges’ g. Regardless, all were standardized mean differences” </t>
      </text>
    </comment>
    <comment ref="BF47" authorId="623" shapeId="0" xr:uid="{845292AF-F6DF-469C-B34C-7A06F4D06578}">
      <text>
        <t xml:space="preserve">[Threaded comment]
Your version of Excel allows you to read this threaded comment; however, any edits to it will get removed if the file is opened in a newer version of Excel. Learn more: https://go.microsoft.com/fwlink/?linkid=870924
Comment:
    “To pilot the coding form, the first and second authors independently double-coded several meta-analyses” </t>
      </text>
    </comment>
    <comment ref="BJ47" authorId="624" shapeId="0" xr:uid="{C35F4BF8-1509-4208-82ED-2599F0F07B34}">
      <text>
        <t xml:space="preserve">[Threaded comment]
Your version of Excel allows you to read this threaded comment; however, any edits to it will get removed if the file is opened in a newer version of Excel. Learn more: https://go.microsoft.com/fwlink/?linkid=870924
Comment:
    “To examine study overlap, we formed a reference group that consisted of 68 nonduplicated primary studies from three meta-analyses by Slavin (1987, 1990, 1993)... We then compared the references of each of the remaining 10 meta-analyses with the 68 reference studies to calculate the number of overlapping studies” </t>
      </text>
    </comment>
    <comment ref="BL47" authorId="625" shapeId="0" xr:uid="{2A54B8AE-8F0F-4E62-8243-2EE3C562C46A}">
      <text>
        <t xml:space="preserve">[Threaded comment]
Your version of Excel allows you to read this threaded comment; however, any edits to it will get removed if the file is opened in a newer version of Excel. Learn more: https://go.microsoft.com/fwlink/?linkid=870924
Comment:
    “The percentage of overlapping studies was calculated by dividing the number of overlapping studies with the total number of identifiable studies included in a meta-analysis” </t>
      </text>
    </comment>
    <comment ref="BN47" authorId="626" shapeId="0" xr:uid="{5A833C54-7234-4A3B-AB9F-6D14E2704641}">
      <text>
        <t xml:space="preserve">[Threaded comment]
Your version of Excel allows you to read this threaded comment; however, any edits to it will get removed if the file is opened in a newer version of Excel. Learn more: https://go.microsoft.com/fwlink/?linkid=870924
Comment:
    “To assess the methodological quality of meta-analyses, we utilized an empirically developed and validated instrument, AMSTAR” </t>
      </text>
    </comment>
    <comment ref="BQ47" authorId="627" shapeId="0" xr:uid="{92A55962-DB66-4C14-A045-1E17A9FDBA01}">
      <text>
        <t xml:space="preserve">[Threaded comment]
Your version of Excel allows you to read this threaded comment; however, any edits to it will get removed if the file is opened in a newer version of Excel. Learn more: https://go.microsoft.com/fwlink/?linkid=870924
Comment:
    “Each yes response was assigned 1 point. The sum of earned points from the 11 items represented the methodological quality score for each meta-analysis” </t>
      </text>
    </comment>
    <comment ref="BT47" authorId="628" shapeId="0" xr:uid="{61B5C811-C673-4941-B5E3-0C60A06243EE}">
      <text>
        <t xml:space="preserve">[Threaded comment]
Your version of Excel allows you to read this threaded comment; however, any edits to it will get removed if the file is opened in a newer version of Excel. Learn more: https://go.microsoft.com/fwlink/?linkid=870924
Comment:
    “The integration was conducted with the CMA software using mixed-effects models” </t>
      </text>
    </comment>
    <comment ref="CF47" authorId="629" shapeId="0" xr:uid="{063B0F85-8AF6-40E0-892D-BA1C17543A59}">
      <text>
        <t>[Threaded comment]
Your version of Excel allows you to read this threaded comment; however, any edits to it will get removed if the file is opened in a newer version of Excel. Learn more: https://go.microsoft.com/fwlink/?linkid=870924
Comment:
    “The current second-order meta-analyses assessed publication bias through producing a funnel plot (Peters, Sutton, Jones, Abrams, &amp; Rushton, 2008) and conducting trim-and-fill analysis (Duvall &amp; Tweedie, 2000).“</t>
      </text>
    </comment>
    <comment ref="CL47" authorId="630" shapeId="0" xr:uid="{48954257-8AAF-4F8F-BA83-529B99FC30CF}">
      <text>
        <t>[Threaded comment]
Your version of Excel allows you to read this threaded comment; however, any edits to it will get removed if the file is opened in a newer version of Excel. Learn more: https://go.microsoft.com/fwlink/?linkid=870924
Comment:
    ”… heterogeneity analyses that assessed whether Hedges’ gs of the original metaanalyses varied significantly. Key statistics include between-meta-analysis variance (Qb), degrees of freedom, p values, and the ratio of between-meta-analysis variance to total variance (I2). ”</t>
      </text>
    </comment>
    <comment ref="CR47" authorId="631" shapeId="0" xr:uid="{A4B685EA-39D6-4253-8FB9-C243989E6EDF}">
      <text>
        <t xml:space="preserve">[Threaded comment]
Your version of Excel allows you to read this threaded comment; however, any edits to it will get removed if the file is opened in a newer version of Excel. Learn more: https://go.microsoft.com/fwlink/?linkid=870924
Comment:
    “Moderator analyses that were analogous to the analysis of variance were conducted to examine whether the integrated mean ESs differed by the methodological quality level of meta-analyses” </t>
      </text>
    </comment>
    <comment ref="CW47" authorId="632" shapeId="0" xr:uid="{D70828E5-8756-47FB-A4E8-4A4DB81ADA88}">
      <text>
        <t xml:space="preserve">[Threaded comment]
Your version of Excel allows you to read this threaded comment; however, any edits to it will get removed if the file is opened in a newer version of Excel. Learn more: https://go.microsoft.com/fwlink/?linkid=870924
Comment:
    “We tested whether Hedges’ ggs yielded through such conversions varied substantially when they were calculated based on available alternative information such as confidence intervals" </t>
      </text>
    </comment>
    <comment ref="DE47" authorId="633" shapeId="0" xr:uid="{6855EE31-DADE-496F-ABC1-E46DEF070E36}">
      <text>
        <t>[Threaded comment]
Your version of Excel allows you to read this threaded comment; however, any edits to it will get removed if the file is opened in a newer version of Excel. Learn more: https://go.microsoft.com/fwlink/?linkid=870924
Comment:
    Table 1 and 8</t>
      </text>
    </comment>
    <comment ref="DF47" authorId="634" shapeId="0" xr:uid="{86DC8DF5-06C9-44E4-BC69-542B8E7DEB2C}">
      <text>
        <t xml:space="preserve">[Threaded comment]
Your version of Excel allows you to read this threaded comment; however, any edits to it will get removed if the file is opened in a newer version of Excel. Learn more: https://go.microsoft.com/fwlink/?linkid=870924
Comment:
    Tables 3 and 9 </t>
      </text>
    </comment>
    <comment ref="DG47" authorId="635" shapeId="0" xr:uid="{C95826CC-DBA8-4D23-B53E-975031588F23}">
      <text>
        <t xml:space="preserve">[Threaded comment]
Your version of Excel allows you to read this threaded comment; however, any edits to it will get removed if the file is opened in a newer version of Excel. Learn more: https://go.microsoft.com/fwlink/?linkid=870924
Comment:
    Tables 4 </t>
      </text>
    </comment>
    <comment ref="DH47" authorId="636" shapeId="0" xr:uid="{592C9AF3-3399-4ADB-A1FF-7DC31413892B}">
      <text>
        <t>[Threaded comment]
Your version of Excel allows you to read this threaded comment; however, any edits to it will get removed if the file is opened in a newer version of Excel. Learn more: https://go.microsoft.com/fwlink/?linkid=870924
Comment:
    Table 6, Table S2 and S4 in supplementary</t>
      </text>
    </comment>
    <comment ref="DJ47" authorId="637" shapeId="0" xr:uid="{7610A4D4-4B80-2043-AA7B-9C95DCE0BF68}">
      <text>
        <t>[Threaded comment]
Your version of Excel allows you to read this threaded comment; however, any edits to it will get removed if the file is opened in a newer version of Excel. Learn more: https://go.microsoft.com/fwlink/?linkid=870924
Comment:
    Not in intro or discussion</t>
      </text>
    </comment>
    <comment ref="AO48" authorId="638" shapeId="0" xr:uid="{F3BE722C-ABC3-4223-8F68-873FAC3E3650}">
      <text>
        <t>[Threaded comment]
Your version of Excel allows you to read this threaded comment; however, any edits to it will get removed if the file is opened in a newer version of Excel. Learn more: https://go.microsoft.com/fwlink/?linkid=870924
Comment:
    ”In addition, when multiple meta-analyses (m) provided data indicating the size of the personality–health correlation across specific coding categories (e.g., cross-sectional vs. prospective designs), …”</t>
      </text>
    </comment>
    <comment ref="AW48" authorId="639" shapeId="0" xr:uid="{949B5C84-1DE9-47A4-83C8-D24CD4348DB5}">
      <text>
        <t xml:space="preserve">[Threaded comment]
Your version of Excel allows you to read this threaded comment; however, any edits to it will get removed if the file is opened in a newer version of Excel. Learn more: https://go.microsoft.com/fwlink/?linkid=870924
Comment:
    "Most meta-analyses reported effect sizes using r statistics, but 2 reported odds ratios and 3 reported Cohen’s ds. The odds ratios and Cohen’s ds were converted to r using commonly accepted formulae"​ </t>
      </text>
    </comment>
    <comment ref="BF48" authorId="640" shapeId="0" xr:uid="{71D10606-188D-4389-BCC2-7D52C4A3652E}">
      <text>
        <t xml:space="preserve">[Threaded comment]
Your version of Excel allows you to read this threaded comment; however, any edits to it will get removed if the file is opened in a newer version of Excel. Learn more: https://go.microsoft.com/fwlink/?linkid=870924
Comment:
    "Meta-analyses were coded along several variables by two raters, and disagreements between raters were resolved through discussion"​ </t>
      </text>
    </comment>
    <comment ref="BG48" authorId="641" shapeId="0" xr:uid="{80439AF4-382C-4127-9CA8-90570A537993}">
      <text>
        <t xml:space="preserve">[Threaded comment]
Your version of Excel allows you to read this threaded comment; however, any edits to it will get removed if the file is opened in a newer version of Excel. Learn more: https://go.microsoft.com/fwlink/?linkid=870924
Comment:
    "Coding of each meta-analysis was done by two raters, and disagreements between raters were resolved through discussion. Inter-rater reliability was reported as κ = .92 for type of health outcome and κ = .83 for meta-analysis quality"​ </t>
      </text>
    </comment>
    <comment ref="BJ48" authorId="642" shapeId="0" xr:uid="{A2B3C6D0-F2DF-459D-8EEC-EAA4E6F29205}">
      <text>
        <t xml:space="preserve">[Threaded comment]
Your version of Excel allows you to read this threaded comment; however, any edits to it will get removed if the file is opened in a newer version of Excel. Learn more: https://go.microsoft.com/fwlink/?linkid=870924
Comment:
    "The remaining meta-analyses were evaluated to identify papers that were reliant upon the same or similar samples"​ </t>
      </text>
    </comment>
    <comment ref="BN48" authorId="643" shapeId="0" xr:uid="{447B33DD-4B7A-4908-9F8C-743FC95E67EC}">
      <text>
        <t xml:space="preserve">[Threaded comment]
Your version of Excel allows you to read this threaded comment; however, any edits to it will get removed if the file is opened in a newer version of Excel. Learn more: https://go.microsoft.com/fwlink/?linkid=870924
Comment:
    "The methodological quality of included meta-analyses was coded using five criteria outlined in previous work"​ </t>
      </text>
    </comment>
    <comment ref="BQ48" authorId="644" shapeId="0" xr:uid="{F6E78839-EE92-4971-975B-EF3BB3915356}">
      <text>
        <t xml:space="preserve">[Threaded comment]
Your version of Excel allows you to read this threaded comment; however, any edits to it will get removed if the file is opened in a newer version of Excel. Learn more: https://go.microsoft.com/fwlink/?linkid=870924
Comment:
    "These five criteria were coded dichotomously (1 = criteria met, 0 = criteria not met) and summed to create an index of methodological quality"​ </t>
      </text>
    </comment>
    <comment ref="BR48" authorId="645" shapeId="0" xr:uid="{59B94D23-1C96-4EB2-AA0B-0782F72E763D}">
      <text>
        <t xml:space="preserve">[Threaded comment]
Your version of Excel allows you to read this threaded comment; however, any edits to it will get removed if the file is opened in a newer version of Excel. Learn more: https://go.microsoft.com/fwlink/?linkid=870924
Comment:
    "A nonsignificant linear trend was obtained such that higher quality meta-analyses produced somewhat larger effect sizes than lower quality meta-analyses"​ </t>
      </text>
    </comment>
    <comment ref="BT48" authorId="646" shapeId="0" xr:uid="{C5404FEB-1DCA-E243-A366-F59FBE1CE585}">
      <text>
        <t>[Threaded comment]
Your version of Excel allows you to read this threaded comment; however, any edits to it will get removed if the file is opened in a newer version of Excel. Learn more: https://go.microsoft.com/fwlink/?linkid=870924
Comment:
    "Past research found that unweighted averages in meta-analysis tend to perform as well or better in predicting population effects than averages that weight by study sample size or other criteria (see Bonett, 2009; Krizan, 2010; Shuster, 2010).”</t>
      </text>
    </comment>
    <comment ref="CB48" authorId="647" shapeId="0" xr:uid="{9DB1DD80-D9A2-4919-AC0E-DB9752594E77}">
      <text>
        <t xml:space="preserve">[Threaded comment]
Your version of Excel allows you to read this threaded comment; however, any edits to it will get removed if the file is opened in a newer version of Excel. Learn more: https://go.microsoft.com/fwlink/?linkid=870924
Comment:
    "Personality–health relations were somewhat larger when effect sizes were adjusted versus unadjusted for measurement unreliability"​ </t>
      </text>
    </comment>
    <comment ref="CD48" authorId="648" shapeId="0" xr:uid="{1C93BE6B-8BBE-4AE7-8492-D926C058EBFE}">
      <text>
        <t xml:space="preserve">[Threaded comment]
Your version of Excel allows you to read this threaded comment; however, any edits to it will get removed if the file is opened in a newer version of Excel. Learn more: https://go.microsoft.com/fwlink/?linkid=870924
Comment:
    "When meta-analyses reported effect sizes indexing the relation between Big Five traits and multiple health outcomes, these effects were averaged before entering them into the final model"​.
This means that multiple outcomes from the same meta-analysis were combined into a single effect size to ensure each meta-analysis contributed one effect size. </t>
      </text>
    </comment>
    <comment ref="CR48" authorId="649" shapeId="0" xr:uid="{49E00593-9E53-4D6D-83FD-59743B6E4953}">
      <text>
        <t xml:space="preserve">[Threaded comment]
Your version of Excel allows you to read this threaded comment; however, any edits to it will get removed if the file is opened in a newer version of Excel. Learn more: https://go.microsoft.com/fwlink/?linkid=870924
Comment:
    "A series of moderation tests was conducted to identify the conditions under which personality–health relations are most pronounced"​ </t>
      </text>
    </comment>
    <comment ref="CS48" authorId="650" shapeId="0" xr:uid="{3F8C1840-03C7-4AD3-BF94-979DA84DB82F}">
      <text>
        <t xml:space="preserve">[Threaded comment]
Your version of Excel allows you to read this threaded comment; however, any edits to it will get removed if the file is opened in a newer version of Excel. Learn more: https://go.microsoft.com/fwlink/?linkid=870924
Comment:
    "Personality–health relations were relatively strong when examining mental health outcomes, relatively weak when examining physical health outcomes, and intermediate when examining health behaviors"​ </t>
      </text>
    </comment>
    <comment ref="DA48" authorId="651" shapeId="0" xr:uid="{93A303FA-CA4E-43CF-BE49-0953BB7C3945}">
      <text>
        <t>[Threaded comment]
Your version of Excel allows you to read this threaded comment; however, any edits to it will get removed if the file is opened in a newer version of Excel. Learn more: https://go.microsoft.com/fwlink/?linkid=870924
Comment:
    Figure 2</t>
      </text>
    </comment>
    <comment ref="DE48" authorId="652" shapeId="0" xr:uid="{6B15D66A-5996-4CCE-B5F6-680FD15D03F3}">
      <text>
        <t>[Threaded comment]
Your version of Excel allows you to read this threaded comment; however, any edits to it will get removed if the file is opened in a newer version of Excel. Learn more: https://go.microsoft.com/fwlink/?linkid=870924
Comment:
    Table 2</t>
      </text>
    </comment>
    <comment ref="DF48" authorId="653" shapeId="0" xr:uid="{590987D1-799F-41B8-9801-2B605C2EB74E}">
      <text>
        <t>[Threaded comment]
Your version of Excel allows you to read this threaded comment; however, any edits to it will get removed if the file is opened in a newer version of Excel. Learn more: https://go.microsoft.com/fwlink/?linkid=870924
Comment:
    Table 3</t>
      </text>
    </comment>
    <comment ref="DG48" authorId="654" shapeId="0" xr:uid="{8FEB244F-E982-4C32-A49F-92FF948154C3}">
      <text>
        <t>[Threaded comment]
Your version of Excel allows you to read this threaded comment; however, any edits to it will get removed if the file is opened in a newer version of Excel. Learn more: https://go.microsoft.com/fwlink/?linkid=870924
Comment:
    Table 3</t>
      </text>
    </comment>
    <comment ref="M49" authorId="655" shapeId="0" xr:uid="{D2C90AA5-0B60-1848-89A6-8D5961FFC29C}">
      <text>
        <t>[Threaded comment]
Your version of Excel allows you to read this threaded comment; however, any edits to it will get removed if the file is opened in a newer version of Excel. Learn more: https://go.microsoft.com/fwlink/?linkid=870924
Comment:
    merge</t>
      </text>
    </comment>
    <comment ref="U49" authorId="656" shapeId="0" xr:uid="{8A7BBC96-EC57-463C-999E-9FEFAE3FF82F}">
      <text>
        <t>[Threaded comment]
Your version of Excel allows you to read this threaded comment; however, any edits to it will get removed if the file is opened in a newer version of Excel. Learn more: https://go.microsoft.com/fwlink/?linkid=870924
Comment:
    merge</t>
      </text>
    </comment>
    <comment ref="AB51" authorId="657" shapeId="0" xr:uid="{3830F465-4D13-534A-B873-3B9E1AAFAE2C}">
      <text>
        <t>[Threaded comment]
Your version of Excel allows you to read this threaded comment; however, any edits to it will get removed if the file is opened in a newer version of Excel. Learn more: https://go.microsoft.com/fwlink/?linkid=870924
Comment:
    Found this by going into eisendal (2015), since the paper is built on this:
”We built our data set by referring to the meta-analytic data set used by Eisend (2015). This data set contains 176 meta-analyses in marketing research that provide 1,841 meta-analytic effect sizes. ”</t>
      </text>
    </comment>
    <comment ref="AW51" authorId="658" shapeId="0" xr:uid="{9C73E963-7E58-C24C-B8BF-E033730B3AEB}">
      <text>
        <t xml:space="preserve">[Threaded comment]
Your version of Excel allows you to read this threaded comment; however, any edits to it will get removed if the file is opened in a newer version of Excel. Learn more: https://go.microsoft.com/fwlink/?linkid=870924
Comment:
    "Since most of the meta-analyses in marketing used the correlation coefficient as the effect size, the correlation coefficient was chosen as the meta-analytic effect size in our study as well..."​ </t>
      </text>
    </comment>
    <comment ref="BJ51" authorId="659" shapeId="0" xr:uid="{AD7FF26A-DB56-384F-9E9E-F16A223EE3EF}">
      <text>
        <t>[Threaded comment]
Your version of Excel allows you to read this threaded comment; however, any edits to it will get removed if the file is opened in a newer version of Excel. Learn more: https://go.microsoft.com/fwlink/?linkid=870924
Comment:
    “The comparison of our meta-meta-analysis with the meta-analysis by Aguinis et al. (2011) in Table 5 indicates partial overlaps in the selection of judgment calls and their effects. However, the nonoverlapping judgment call variables do not imply that these judgment calls have not been made.”</t>
      </text>
    </comment>
    <comment ref="BQ51" authorId="660" shapeId="0" xr:uid="{94CAEAC0-0F7C-5E46-A669-50232F802A8C}">
      <text>
        <t xml:space="preserve">[Threaded comment]
Your version of Excel allows you to read this threaded comment; however, any edits to it will get removed if the file is opened in a newer version of Excel. Learn more: https://go.microsoft.com/fwlink/?linkid=870924
Comment:
    "Table 2 provides an overview of judgment calls that occur in meta-analyses, which are the independent variables used in our analysis"​ </t>
      </text>
    </comment>
    <comment ref="BR51" authorId="661" shapeId="0" xr:uid="{C5BB1C64-6AEE-9D4E-8098-091324FF4C58}">
      <text>
        <t xml:space="preserve">[Threaded comment]
Your version of Excel allows you to read this threaded comment; however, any edits to it will get removed if the file is opened in a newer version of Excel. Learn more: https://go.microsoft.com/fwlink/?linkid=870924
Comment:
    "We used judgment call and non–judgment call variables as moderators to explain the variation between estimates." Quality was incorporated as moderators in a multivariate analysis​ </t>
      </text>
    </comment>
    <comment ref="CB51" authorId="662" shapeId="0" xr:uid="{66E06712-2CDD-3649-9955-48448B986471}">
      <text>
        <t xml:space="preserve">[Threaded comment]
Your version of Excel allows you to read this threaded comment; however, any edits to it will get removed if the file is opened in a newer version of Excel. Learn more: https://go.microsoft.com/fwlink/?linkid=870924
Comment:
    "In cases where a meta-analysis provided attenuated effect sizes only...they were kept as such because artifact correction is considered in our model to be a judgment call" </t>
      </text>
    </comment>
    <comment ref="CD51" authorId="663" shapeId="0" xr:uid="{ECDA74C2-7B26-1247-9636-F2AE95CCB858}">
      <text>
        <t xml:space="preserve">[Threaded comment]
Your version of Excel allows you to read this threaded comment; however, any edits to it will get removed if the file is opened in a newer version of Excel. Learn more: https://go.microsoft.com/fwlink/?linkid=870924
Comment:
    "If a meta-analysis reported subgroups of meta-analytic effect sizes rather than a single meta-analytic effect size...they were coded separately" </t>
      </text>
    </comment>
    <comment ref="CM51" authorId="664" shapeId="0" xr:uid="{42EA30C2-3E7F-B442-8F02-9A3F89CC71E7}">
      <text>
        <t xml:space="preserve">[Threaded comment]
Your version of Excel allows you to read this threaded comment; however, any edits to it will get removed if the file is opened in a newer version of Excel. Learn more: https://go.microsoft.com/fwlink/?linkid=870924
Comment:
    "The intraclass coefficient...indicating that almost 40% of the observed variance was between meta-analyses"​ </t>
      </text>
    </comment>
    <comment ref="CS51" authorId="665" shapeId="0" xr:uid="{CA5583D0-5CF5-B249-ABC5-6764D1DCEE97}">
      <text>
        <t>[Threaded comment]
Your version of Excel allows you to read this threaded comment; however, any edits to it will get removed if the file is opened in a newer version of Excel. Learn more: https://go.microsoft.com/fwlink/?linkid=870924
Comment:
    “We used a hierarchical linear model (HLM) estimation procedure with two levels”</t>
      </text>
    </comment>
    <comment ref="DG51" authorId="666" shapeId="0" xr:uid="{382D6784-5DF1-7142-AA49-1FDB3DEEB6CD}">
      <text>
        <t>[Threaded comment]
Your version of Excel allows you to read this threaded comment; however, any edits to it will get removed if the file is opened in a newer version of Excel. Learn more: https://go.microsoft.com/fwlink/?linkid=870924
Comment:
    Table 4</t>
      </text>
    </comment>
    <comment ref="K52" authorId="667" shapeId="0" xr:uid="{64AC2AE4-9AAD-4C04-9383-0D0249FEE83D}">
      <text>
        <t>[Threaded comment]
Your version of Excel allows you to read this threaded comment; however, any edits to it will get removed if the file is opened in a newer version of Excel. Learn more: https://go.microsoft.com/fwlink/?linkid=870924
Comment:
    23.january 2023 (web of science)</t>
      </text>
    </comment>
    <comment ref="AG52" authorId="668" shapeId="0" xr:uid="{1CDC957F-BF3A-4CD7-BFA2-95895F507273}">
      <text>
        <t xml:space="preserve">[Threaded comment]
Your version of Excel allows you to read this threaded comment; however, any edits to it will get removed if the file is opened in a newer version of Excel. Learn more: https://go.microsoft.com/fwlink/?linkid=870924
Comment:
    "First, we tried to minimize publication bias on the second-order level by searching for gray literature (i.e., theses and dissertations) in ProQuest Dissertations and Theses Global: Social Sciences."
"Furthermore, we sent out a call for unpublished studies via the Environmental Psychology Mailing List." </t>
      </text>
    </comment>
    <comment ref="AJ52" authorId="669" shapeId="0" xr:uid="{F1AD11C0-B625-4307-80A5-F0A114DD0EEA}">
      <text>
        <t>[Threaded comment]
Your version of Excel allows you to read this threaded comment; however, any edits to it will get removed if the file is opened in a newer version of Excel. Learn more: https://go.microsoft.com/fwlink/?linkid=870924
Comment:
    “Second, all remaining hits were blindly assessed for eligibility by two researchers using criteria 2 to 5. The interrater reliability showed strong agreement (Cohen’s Kappa = 0.996).”</t>
      </text>
    </comment>
    <comment ref="AO52" authorId="670" shapeId="0" xr:uid="{51AC95A3-243D-4A8D-86A9-363376004C68}">
      <text>
        <t xml:space="preserve">[Threaded comment]
Your version of Excel allows you to read this threaded comment; however, any edits to it will get removed if the file is opened in a newer version of Excel. Learn more: https://go.microsoft.com/fwlink/?linkid=870924
Comment:
    "We included meta-analyses described as examining experiments or quasi-experiments conducted in a field setting." </t>
      </text>
    </comment>
    <comment ref="AW52" authorId="671" shapeId="0" xr:uid="{3BC60931-6BFB-490C-B6AF-4EE5D848A00C}">
      <text>
        <t xml:space="preserve">[Threaded comment]
Your version of Excel allows you to read this threaded comment; however, any edits to it will get removed if the file is opened in a newer version of Excel. Learn more: https://go.microsoft.com/fwlink/?linkid=870924
Comment:
    "We extracted four different types of effect sizes from the included meta-analyses: Cohen’s d, Hedge’s g, Fisher’s z, and Pearson’s r." </t>
      </text>
    </comment>
    <comment ref="BJ52" authorId="672" shapeId="0" xr:uid="{788733E1-95FE-4E69-8C12-B962FE5501A7}">
      <text>
        <t xml:space="preserve">[Threaded comment]
Your version of Excel allows you to read this threaded comment; however, any edits to it will get removed if the file is opened in a newer version of Excel. Learn more: https://go.microsoft.com/fwlink/?linkid=870924
Comment:
    "We calculated the corrected covered area (CCA) for the entire matrix of included primary studies... The initial CCA was 4%, which can be interpreted as a slight overlap." </t>
      </text>
    </comment>
    <comment ref="BL52" authorId="673" shapeId="0" xr:uid="{5D19346F-25D6-4AFD-B6DE-8858FE4BD89A}">
      <text>
        <t xml:space="preserve">[Threaded comment]
Your version of Excel allows you to read this threaded comment; however, any edits to it will get removed if the file is opened in a newer version of Excel. Learn more: https://go.microsoft.com/fwlink/?linkid=870924
Comment:
    "Sequentially, we excluded meta-analyses starting with the lowest percentage of uniqueness or highest degree of overlap and recalculated the uniqueness of the remaining meta-analyses until each meta-analysis contributed more than 25% of unique primary studies." </t>
      </text>
    </comment>
    <comment ref="BT52" authorId="674" shapeId="0" xr:uid="{F03CA265-F252-41F1-BD95-3653CECD0C38}">
      <text>
        <t xml:space="preserve">[Threaded comment]
Your version of Excel allows you to read this threaded comment; however, any edits to it will get removed if the file is opened in a newer version of Excel. Learn more: https://go.microsoft.com/fwlink/?linkid=870924
Comment:
    "We calculated a second-order meta-analysis of bare-bones first-order meta-analyses following the approach by Schmidt and Oh (20)." (p. 8).
"Results of a random-effects meta-analysis corroborated results from the second-order meta-analysis." (p. 3).
</t>
      </text>
    </comment>
    <comment ref="CB52" authorId="675" shapeId="0" xr:uid="{92064A79-92A7-A24E-86DC-9F4383E2B35F}">
      <text>
        <t xml:space="preserve">[Threaded comment]
Your version of Excel allows you to read this threaded comment; however, any edits to it will get removed if the file is opened in a newer version of Excel. Learn more: https://go.microsoft.com/fwlink/?linkid=870924
Comment:
    The ES were only adjusted for publication bias: "After adjusting for publication bias, the overall effect was reduced to 7 percentage points." 
"Results showed that the overall effect decreased from d = 0.33, 95% CI [0.32, 0.34] to d = 0.24, 95% CI [0.23, 0.25] when adjusting for publication bias." 
"Each of our attempts to correct for publication bias resulted in downward adjustments, still statistically significant overall effects: d = 0.04, 0.18, and 0.24." </t>
      </text>
    </comment>
    <comment ref="CE52" authorId="676" shapeId="0" xr:uid="{EC45AE71-BFC3-47E7-9530-877B66B99E55}">
      <text>
        <t xml:space="preserve">[Threaded comment]
Your version of Excel allows you to read this threaded comment; however, any edits to it will get removed if the file is opened in a newer version of Excel. Learn more: https://go.microsoft.com/fwlink/?linkid=870924
Comment:
    "We assessed publication bias by analyzing the adequately powered (&gt;0.80) studies using weighted average of the adequately powered weighted least squares (WAAP-WLS) models in JASP." (p. 9).
"First, a p-curve analysis indicated little evidence of selective reporting... Second, results for both the precision-effect test and precision-effect estimate with standard errors (PET-PEESE) indicated significant publication bias." </t>
      </text>
    </comment>
    <comment ref="CL52" authorId="677" shapeId="0" xr:uid="{2B1D039B-D26A-4049-8FEE-22682A5FCD02}">
      <text>
        <t xml:space="preserve">[Threaded comment]
Your version of Excel allows you to read this threaded comment; however, any edits to it will get removed if the file is opened in a newer version of Excel. Learn more: https://go.microsoft.com/fwlink/?linkid=870924
Comment:
    "The proportion of the observed variance accounted for by the second-order sampling error was approaching zero (ProportionVar &lt; 0.001), meaning that differences in effect sizes across meta-analyses cannot be explained by sampling error alone but are likely driven by moderating factors." </t>
      </text>
    </comment>
    <comment ref="CR52" authorId="678" shapeId="0" xr:uid="{F9251AF8-CA22-48E5-A233-B33BA236194C}">
      <text>
        <t xml:space="preserve">[Threaded comment]
Your version of Excel allows you to read this threaded comment; however, any edits to it will get removed if the file is opened in a newer version of Excel. Learn more: https://go.microsoft.com/fwlink/?linkid=870924
Comment:
    "Next, we tested the subgroup effects for a) type of intervention and b) category of proenvironmental behaviors, as an approach to explaining the systematic variance." </t>
      </text>
    </comment>
    <comment ref="CY52" authorId="679" shapeId="0" xr:uid="{5039A56A-E9D5-4D80-A0CC-75AE83A5848B}">
      <text>
        <t xml:space="preserve">[Threaded comment]
Your version of Excel allows you to read this threaded comment; however, any edits to it will get removed if the file is opened in a newer version of Excel. Learn more: https://go.microsoft.com/fwlink/?linkid=870924
Comment:
    "We assessed publication bias by analyzing the adequately powered (&gt;0.80) studies using weighted average of the adequately powered weighted least squares (WAAP-WLS) models in JASP." </t>
      </text>
    </comment>
    <comment ref="DA52" authorId="680" shapeId="0" xr:uid="{D6E34FB5-3534-48E9-9ECB-027F8F27CE18}">
      <text>
        <t>[Threaded comment]
Your version of Excel allows you to read this threaded comment; however, any edits to it will get removed if the file is opened in a newer version of Excel. Learn more: https://go.microsoft.com/fwlink/?linkid=870924
Comment:
    Figure 2</t>
      </text>
    </comment>
    <comment ref="DB52" authorId="681" shapeId="0" xr:uid="{C96A9F42-C16F-4275-8614-33ED1395D2E5}">
      <text>
        <t>[Threaded comment]
Your version of Excel allows you to read this threaded comment; however, any edits to it will get removed if the file is opened in a newer version of Excel. Learn more: https://go.microsoft.com/fwlink/?linkid=870924
Comment:
    Figure 2</t>
      </text>
    </comment>
    <comment ref="DC52" authorId="682" shapeId="0" xr:uid="{80DF1976-29E4-4899-B381-252D842D19F2}">
      <text>
        <t>[Threaded comment]
Your version of Excel allows you to read this threaded comment; however, any edits to it will get removed if the file is opened in a newer version of Excel. Learn more: https://go.microsoft.com/fwlink/?linkid=870924
Comment:
    Figure 1</t>
      </text>
    </comment>
    <comment ref="DD52" authorId="683" shapeId="0" xr:uid="{ED78412E-A569-4465-90EF-EE3DE5DC444F}">
      <text>
        <t xml:space="preserve">[Threaded comment]
Your version of Excel allows you to read this threaded comment; however, any edits to it will get removed if the file is opened in a newer version of Excel. Learn more: https://go.microsoft.com/fwlink/?linkid=870924
Comment:
    Supplementary </t>
      </text>
    </comment>
    <comment ref="DE52" authorId="684" shapeId="0" xr:uid="{445EBF05-E119-4047-A384-CC5B3826DA78}">
      <text>
        <t>[Threaded comment]
Your version of Excel allows you to read this threaded comment; however, any edits to it will get removed if the file is opened in a newer version of Excel. Learn more: https://go.microsoft.com/fwlink/?linkid=870924
Comment:
    Appendix A Table A</t>
      </text>
    </comment>
    <comment ref="DF52" authorId="685" shapeId="0" xr:uid="{32C50BE8-1A1E-4D35-A383-1C69A8C198C3}">
      <text>
        <t>[Threaded comment]
Your version of Excel allows you to read this threaded comment; however, any edits to it will get removed if the file is opened in a newer version of Excel. Learn more: https://go.microsoft.com/fwlink/?linkid=870924
Comment:
    Table 1</t>
      </text>
    </comment>
    <comment ref="DT52" authorId="686" shapeId="0" xr:uid="{E365D8FF-0A97-5948-B471-B968DB04EF4C}">
      <text>
        <t xml:space="preserve">[Threaded comment]
Your version of Excel allows you to read this threaded comment; however, any edits to it will get removed if the file is opened in a newer version of Excel. Learn more: https://go.microsoft.com/fwlink/?linkid=870924
Comment:
    “All data and the code for the second-order meta-analysis are publicly available in the Open Science Framework (OSF)." </t>
      </text>
    </comment>
    <comment ref="AB53" authorId="687" shapeId="0" xr:uid="{535C1C73-F9E5-40A8-AA32-6C1185AB8D8C}">
      <text>
        <t xml:space="preserve">[Threaded comment]
Your version of Excel allows you to read this threaded comment; however, any edits to it will get removed if the file is opened in a newer version of Excel. Learn more: https://go.microsoft.com/fwlink/?linkid=870924
Comment:
    Based on appendix B. However, this only discuss 15 not 16 meta analysis.
Total Studies: 16+54+54+32+25+26+7+29+5+63+38+25+6+9+23=41216+54+54+32+25+26+7+29+5+63+38+25+6+9+23=412. </t>
      </text>
    </comment>
    <comment ref="AC53" authorId="688" shapeId="0" xr:uid="{05C65DD9-9A54-417B-87FB-E92767A24FDA}">
      <text>
        <t xml:space="preserve">[Threaded comment]
Your version of Excel allows you to read this threaded comment; however, any edits to it will get removed if the file is opened in a newer version of Excel. Learn more: https://go.microsoft.com/fwlink/?linkid=870924
Comment:
    Total Participants: 1,186+1,638+1,608+2,077+2,690+999+267+281+927+11,788+5,111+3,928+216+1,828+2,675=37,2191,186+1,638+1,608+2,077+2,690+999+267+281+927+11,788+5,111+3,928+216+1,828+2,675=37,219. </t>
      </text>
    </comment>
    <comment ref="AH53" authorId="689" shapeId="0" xr:uid="{B1EA7635-0047-4ED2-9CAD-A42E36BECD31}">
      <text>
        <t xml:space="preserve">[Threaded comment]
Your version of Excel allows you to read this threaded comment; however, any edits to it will get removed if the file is opened in a newer version of Excel. Learn more: https://go.microsoft.com/fwlink/?linkid=870924
Comment:
    "We considered only meta-analyses investigating the effects of any intervention for children and adolescents with ADHD..." </t>
      </text>
    </comment>
    <comment ref="AI53" authorId="690" shapeId="0" xr:uid="{BB1F718B-EF1C-4EB1-80D2-0A3CA7C06A7B}">
      <text>
        <t>[Threaded comment]
Your version of Excel allows you to read this threaded comment; however, any edits to it will get removed if the file is opened in a newer version of Excel. Learn more: https://go.microsoft.com/fwlink/?linkid=870924
Comment:
    Appendix A</t>
      </text>
    </comment>
    <comment ref="AO53" authorId="691" shapeId="0" xr:uid="{C6D69973-F1BB-42D9-9EC9-86A31FE38A4D}">
      <text>
        <t xml:space="preserve">[Threaded comment]
Your version of Excel allows you to read this threaded comment; however, any edits to it will get removed if the file is opened in a newer version of Excel. Learn more: https://go.microsoft.com/fwlink/?linkid=870924
Comment:
    "Meta-analyses of randomized and pseudo-randomized controlled trials, as well as meta-analyses based on between-group and within-group study designs were included." </t>
      </text>
    </comment>
    <comment ref="AW53" authorId="692" shapeId="0" xr:uid="{E5BBBED3-5054-481B-AA5A-B7EA2B741525}">
      <text>
        <t xml:space="preserve">[Threaded comment]
Your version of Excel allows you to read this threaded comment; however, any edits to it will get removed if the file is opened in a newer version of Excel. Learn more: https://go.microsoft.com/fwlink/?linkid=870924
Comment:
    "Meta-analyses included in further analyses provided effect sizes calculated as standardized mean difference." </t>
      </text>
    </comment>
    <comment ref="BF53" authorId="693" shapeId="0" xr:uid="{32349917-30E1-447D-AA05-57DA8185722D}">
      <text>
        <t>[Threaded comment]
Your version of Excel allows you to read this threaded comment; however, any edits to it will get removed if the file is opened in a newer version of Excel. Learn more: https://go.microsoft.com/fwlink/?linkid=870924
Comment:
    In the Selection of meta-analyses  This is said:"Relevant data from all remaining meta-analyses were extracted from original articles and organized in a comprehensive electronic sheet by the first authors (ST, AK) and cross-checked for accuracy. In cases of disagreement, a third rater (HC) was involved." 
However, this seem to me to be talking about coding, not screening??</t>
      </text>
    </comment>
    <comment ref="BG53" authorId="694" shapeId="0" xr:uid="{0357AA12-66F5-458B-AB57-67018A9D9ED8}">
      <text>
        <t>[Threaded comment]
Your version of Excel allows you to read this threaded comment; however, any edits to it will get removed if the file is opened in a newer version of Excel. Learn more: https://go.microsoft.com/fwlink/?linkid=870924
Comment:
    ”calculated the intra-class correlation (ICC) between the two independent assessments using the Statistical Package for Social Science Version 20 (SPSS IBM Corp, 2011), which resulted in an ICC = 0.774 value, indicating good to excellent interrater agreement. ”</t>
      </text>
    </comment>
    <comment ref="BL53" authorId="695" shapeId="0" xr:uid="{6DB9AAE2-90E4-49B7-898D-A4E4805F675D}">
      <text>
        <t xml:space="preserve">[Threaded comment]
Your version of Excel allows you to read this threaded comment; however, any edits to it will get removed if the file is opened in a newer version of Excel. Learn more: https://go.microsoft.com/fwlink/?linkid=870924
Comment:
    "The CCA is a measure representing the overlap (relative coverage) of primary studies in the included meta-analyses: a CCA between 0 and 5 demonstrates slight overlap, 6 to 10 demonstrates moderate overlap, a score between 11 and 15 is considered high overlap, and &gt;15 very high overlap." </t>
      </text>
    </comment>
    <comment ref="BN53" authorId="696" shapeId="0" xr:uid="{0DBC2E0C-ABF6-4ACA-8E45-759CE4E0FCA7}">
      <text>
        <t xml:space="preserve">[Threaded comment]
Your version of Excel allows you to read this threaded comment; however, any edits to it will get removed if the file is opened in a newer version of Excel. Learn more: https://go.microsoft.com/fwlink/?linkid=870924
Comment:
    "The quality scores of every meta-analysis are based on the PRISMA 2009 Checklist as a 'proxy' for methodological quality assessment; they ranged from 27.5 to 49.5 with a mean quality index of 38 (SD = 5.9)." </t>
      </text>
    </comment>
    <comment ref="BQ53" authorId="697" shapeId="0" xr:uid="{89EA7C5F-23CC-4BAC-AF12-AE02EA8CAE18}">
      <text>
        <t xml:space="preserve">[Threaded comment]
Your version of Excel allows you to read this threaded comment; however, any edits to it will get removed if the file is opened in a newer version of Excel. Learn more: https://go.microsoft.com/fwlink/?linkid=870924
Comment:
    "The final quality score ranged between 0 and 54 and serves as a 'proxy' for meta-analytic study quality." </t>
      </text>
    </comment>
    <comment ref="BR53" authorId="698" shapeId="0" xr:uid="{A0F25CF4-408F-4285-9B32-F0799A70FCFA}">
      <text>
        <t xml:space="preserve">[Threaded comment]
Your version of Excel allows you to read this threaded comment; however, any edits to it will get removed if the file is opened in a newer version of Excel. Learn more: https://go.microsoft.com/fwlink/?linkid=870924
Comment:
    "We continuously examined the association between meta-analyses' study-quality ratings and mean effect sizes by conducting meta-regression analyses with random-effects models." 
AND
"We conducted sensitivity analyses by removing meta-analyses with high study overlap, as well as those with low quality scores, to examine the robustness of our findings." </t>
      </text>
    </comment>
    <comment ref="BT53" authorId="699" shapeId="0" xr:uid="{69BBA36A-EF87-49F7-AFBB-69DA9F95C553}">
      <text>
        <t xml:space="preserve">[Threaded comment]
Your version of Excel allows you to read this threaded comment; however, any edits to it will get removed if the file is opened in a newer version of Excel. Learn more: https://go.microsoft.com/fwlink/?linkid=870924
Comment:
    "We considered a new level of variance (second order sampling error) using the Hunter and Schmidt estimator for tau²." </t>
      </text>
    </comment>
    <comment ref="CC53" authorId="700" shapeId="0" xr:uid="{75DE0751-7013-4129-A9AE-96396A857E03}">
      <text>
        <t xml:space="preserve">[Threaded comment]
Your version of Excel allows you to read this threaded comment; however, any edits to it will get removed if the file is opened in a newer version of Excel. Learn more: https://go.microsoft.com/fwlink/?linkid=870924
Comment:
    “A synthesis of
meta-analytic data implies a new level of variance (second order sampling
error) that we considered in using the Hunter and Schmidt estimator
for tau2 (Schmidt &amp; Hunter, 2014; for a more detailed description
see Schmidt &amp; Oh, 2013).”
</t>
      </text>
    </comment>
    <comment ref="CS53" authorId="701" shapeId="0" xr:uid="{4B325C55-BEE1-49CA-9ABF-35D3479FB133}">
      <text>
        <t xml:space="preserve">[Threaded comment]
Your version of Excel allows you to read this threaded comment; however, any edits to it will get removed if the file is opened in a newer version of Excel. Learn more: https://go.microsoft.com/fwlink/?linkid=870924
Comment:
    "Meta-regression analyses were conducted with random-effects models to examine influences of study-quality ratings." </t>
      </text>
    </comment>
    <comment ref="CW53" authorId="702" shapeId="0" xr:uid="{9BCC1255-5742-4C8C-A7B6-108FD1E9711F}">
      <text>
        <t xml:space="preserve">[Threaded comment]
Your version of Excel allows you to read this threaded comment; however, any edits to it will get removed if the file is opened in a newer version of Excel. Learn more: https://go.microsoft.com/fwlink/?linkid=870924
Comment:
    "Meta-analyses with high overlap were first included in a general effect size estimation, and in the second step excluded for additional sensitivity analyses to examine the amount of influence on overall effects." </t>
      </text>
    </comment>
    <comment ref="DA53" authorId="703" shapeId="0" xr:uid="{09683EFE-CCDE-4AD4-A3FE-5FE534D8D320}">
      <text>
        <t>[Threaded comment]
Your version of Excel allows you to read this threaded comment; however, any edits to it will get removed if the file is opened in a newer version of Excel. Learn more: https://go.microsoft.com/fwlink/?linkid=870924
Comment:
    Figure 1</t>
      </text>
    </comment>
    <comment ref="DE53" authorId="704" shapeId="0" xr:uid="{8B55DF40-A4A6-466E-B426-2416EDC742A2}">
      <text>
        <t>[Threaded comment]
Your version of Excel allows you to read this threaded comment; however, any edits to it will get removed if the file is opened in a newer version of Excel. Learn more: https://go.microsoft.com/fwlink/?linkid=870924
Comment:
    Appendix B, however only 15 not 16 articles mentioned</t>
      </text>
    </comment>
    <comment ref="DF53" authorId="705" shapeId="0" xr:uid="{BBE919CC-EF86-4119-BB87-C9E2E380D873}">
      <text>
        <t xml:space="preserve">[Threaded comment]
Your version of Excel allows you to read this threaded comment; however, any edits to it will get removed if the file is opened in a newer version of Excel. Learn more: https://go.microsoft.com/fwlink/?linkid=870924
Comment:
    Appendix 1/A: eTable 3. Summary of results of pharmacological interventions AND eTable 4. Summary of results of psychological interventions
</t>
      </text>
    </comment>
    <comment ref="DH53" authorId="706" shapeId="0" xr:uid="{12C105AF-CC50-4170-8A6F-114D33A1A58C}">
      <text>
        <t xml:space="preserve">[Threaded comment]
Your version of Excel allows you to read this threaded comment; however, any edits to it will get removed if the file is opened in a newer version of Excel. Learn more: https://go.microsoft.com/fwlink/?linkid=870924
Comment:
    eTable 5. PRISMA quality score of included meta-analyses in Appendix 1
</t>
      </text>
    </comment>
    <comment ref="W54" authorId="707" shapeId="0" xr:uid="{F4244443-B8B9-FA4B-BDC4-75AE602C69BE}">
      <text>
        <t>[Threaded comment]
Your version of Excel allows you to read this threaded comment; however, any edits to it will get removed if the file is opened in a newer version of Excel. Learn more: https://go.microsoft.com/fwlink/?linkid=870924
Comment:
    Table 1</t>
      </text>
    </comment>
    <comment ref="X54" authorId="708" shapeId="0" xr:uid="{164FC0CB-3025-4049-A316-DE73AE65A468}">
      <text>
        <t>[Threaded comment]
Your version of Excel allows you to read this threaded comment; however, any edits to it will get removed if the file is opened in a newer version of Excel. Learn more: https://go.microsoft.com/fwlink/?linkid=870924
Comment:
    See table 1</t>
      </text>
    </comment>
    <comment ref="AB54" authorId="709" shapeId="0" xr:uid="{6E9B3FEA-3F2A-40EC-BE82-60041F8563E1}">
      <text>
        <t xml:space="preserve">[Threaded comment]
Your version of Excel allows you to read this threaded comment; however, any edits to it will get removed if the file is opened in a newer version of Excel. Learn more: https://go.microsoft.com/fwlink/?linkid=870924
Comment:
     Since each study only get to report 1 effect
"In cases where multiple lab and/or field effects were reported for the same meta-analysis, we computed a single lab effect size and a single field effect size by taking the average of the reported correlations (Fisher’s z-transformed) across the relevant effect sizes." 
</t>
      </text>
    </comment>
    <comment ref="AC54" authorId="710" shapeId="0" xr:uid="{9702E421-95D7-4046-8C62-8C68C130EECA}">
      <text>
        <t>[Threaded comment]
Your version of Excel allows you to read this threaded comment; however, any edits to it will get removed if the file is opened in a newer version of Excel. Learn more: https://go.microsoft.com/fwlink/?linkid=870924
Comment:
    1005549 participants in field studies and 404851 participants in lab studies, summing up to 1410400 participants​</t>
      </text>
    </comment>
    <comment ref="AG54" authorId="711" shapeId="0" xr:uid="{D1DE2E32-B9A6-42D6-B3DE-3E2B809B2989}">
      <text>
        <t xml:space="preserve">[Threaded comment]
Your version of Excel allows you to read this threaded comment; however, any edits to it will get removed if the file is opened in a newer version of Excel. Learn more: https://go.microsoft.com/fwlink/?linkid=870924
Comment:
    "This included meta-analytic data from four dissertations." </t>
      </text>
    </comment>
    <comment ref="AO54" authorId="712" shapeId="0" xr:uid="{AD3E2C4D-2F5F-4DD6-AAB0-05723C411FF4}">
      <text>
        <t xml:space="preserve">[Threaded comment]
Your version of Excel allows you to read this threaded comment; however, any edits to it will get removed if the file is opened in a newer version of Excel. Learn more: https://go.microsoft.com/fwlink/?linkid=870924
Comment:
    Lab studies were typically experimental in nature: : "Examples of experimentally manipulated predictors include: team training (versus a control condition; Salas, Diaz Granados, Klein, Burke, Stagl, Goodwin, &amp; Halpin, 2008) and variations of stimuli demographics (e.g. age; Gordon &amp; Arvey, 2004)".
Field studies relied heavily on correlational research:"Examples of correlational relationships include: the effects of self-reported intrinsic motivation on innovation (Hammond, Neff, Farr, Schwall, &amp; Zhao, 2011), and the effects of reported team cohesion on performance (Castano, Watts, &amp; Tekleab, 2013)"​ </t>
      </text>
    </comment>
    <comment ref="AW54" authorId="713" shapeId="0" xr:uid="{71BB9EE9-ECBA-43C3-A4D2-77B81DE2CA73}">
      <text>
        <t xml:space="preserve">[Threaded comment]
Your version of Excel allows you to read this threaded comment; however, any edits to it will get removed if the file is opened in a newer version of Excel. Learn more: https://go.microsoft.com/fwlink/?linkid=870924
Comment:
    "We present our results as meta-analytic correlation coefficients (r). When first-order meta-analyses used an alternative effect size estimate, typically a form of standardized mean difference, we transformed these estimates into rs." </t>
      </text>
    </comment>
    <comment ref="BF54" authorId="714" shapeId="0" xr:uid="{F80D6A1E-4937-4A08-B911-F573F83192F7}">
      <text>
        <t xml:space="preserve">[Threaded comment]
Your version of Excel allows you to read this threaded comment; however, any edits to it will get removed if the file is opened in a newer version of Excel. Learn more: https://go.microsoft.com/fwlink/?linkid=870924
Comment:
    "Data partitioning... First-order meta-analyses also provided multiple lab and/or field estimates... a single integrated lab and/or field r was computed for each relationship."
This process suggests collaboration among multiple coders but does not explicitly mention inter-rater reliability values​ </t>
      </text>
    </comment>
    <comment ref="BS54" authorId="715" shapeId="0" xr:uid="{F96D1847-EE70-4FF2-8F6D-54B273DDB5B1}">
      <text>
        <t xml:space="preserve">[Threaded comment]
Your version of Excel allows you to read this threaded comment; however, any edits to it will get removed if the file is opened in a newer version of Excel. Learn more: https://go.microsoft.com/fwlink/?linkid=870924
Comment:
    "We present our results as meta-analytic correlation coefficients (r). When first-order meta-analyses used an alternative effect size estimate, typically a form of standardized mean difference, we transformed these estimates into rs." 
"We computed the sample-size weighted mean r across meta-analytic lab and field effect sizes, as well as the standard deviation of the observed correlation (SDr) in order to establish separate mean effects in lab and field settings." 
"When first-order meta-analyses provided separate lab and field effect sizes, ks, and the total N (but not separate ns), we calculated the mean n for the first-order meta-analysis multiplied by lab and field ks, separately, to estimate sample sizes." </t>
      </text>
    </comment>
    <comment ref="BT54" authorId="716" shapeId="0" xr:uid="{377B6BDB-A6C8-4B2E-8CCA-A1BC327662F4}">
      <text>
        <t xml:space="preserve">[Threaded comment]
Your version of Excel allows you to read this threaded comment; however, any edits to it will get removed if the file is opened in a newer version of Excel. Learn more: https://go.microsoft.com/fwlink/?linkid=870924
Comment:
    "Our use of WLS regression... deviates from Anderson et al.’s (1999) and Mitchell’s (2012) ordinary least squares (OLS) regression approach" </t>
      </text>
    </comment>
    <comment ref="CB54" authorId="717" shapeId="0" xr:uid="{DC856A3E-BF2F-4B88-801E-80544B56ECF9}">
      <text>
        <t xml:space="preserve">[Threaded comment]
Your version of Excel allows you to read this threaded comment; however, any edits to it will get removed if the file is opened in a newer version of Excel. Learn more: https://go.microsoft.com/fwlink/?linkid=870924
Comment:
    The authors specifically retained uncorrected meta-analytic estimates to reflect real-world differences between lab and field studies. 
"Consequently, the present analyses are based on uncorrected meta-analytic estimates" </t>
      </text>
    </comment>
    <comment ref="CD54" authorId="718" shapeId="0" xr:uid="{84F2AFB8-0712-4F4E-97FF-1E198F052BE8}">
      <text>
        <t xml:space="preserve">[Threaded comment]
Your version of Excel allows you to read this threaded comment; however, any edits to it will get removed if the file is opened in a newer version of Excel. Learn more: https://go.microsoft.com/fwlink/?linkid=870924
Comment:
    "First-order meta-analyses also provided multiple lab (e.g., among undergraduate and graduate samples) and/or field (e.g., among leaders and non-leaders) estimates of the same relationship. However, there were too few of these instances...to conduct any meaningful analyses...Thus, a single integrated lab and/or field r was computed for each relationship." </t>
      </text>
    </comment>
    <comment ref="CM54" authorId="719" shapeId="0" xr:uid="{129A8375-5AE5-4B46-8A59-4D2B531C0865}">
      <text>
        <t xml:space="preserve">[Threaded comment]
Your version of Excel allows you to read this threaded comment; however, any edits to it will get removed if the file is opened in a newer version of Excel. Learn more: https://go.microsoft.com/fwlink/?linkid=870924
Comment:
    indirectly. They calculated standard deviations (SDr) of observed correlations to understand variability in effect sizes. </t>
      </text>
    </comment>
    <comment ref="CS54" authorId="720" shapeId="0" xr:uid="{3A6EAF86-3BFB-4912-B4B7-AC1034A2869A}">
      <text>
        <t xml:space="preserve">[Threaded comment]
Your version of Excel allows you to read this threaded comment; however, any edits to it will get removed if the file is opened in a newer version of Excel. Learn more: https://go.microsoft.com/fwlink/?linkid=870924
Comment:
    "We assessed lab–field effect size correspondence with regard to both magnitude and rank-order. First, we hypothesised the difference in lab-field effect size magnitudes to be greater among relationships in which experimental manipulations, as opposed to correlational designs, were used in the lab (Hypothesis 3a)."
"Regression results are presented in Table 3. Raw results do not support Hypothesis 3b, as lab effects based on experimental designs actually accounted for more variance in field effects (77%) than did lab effects based on correlational designs (65%)."
</t>
      </text>
    </comment>
    <comment ref="DD54" authorId="721" shapeId="0" xr:uid="{1C6DA0D5-F996-4077-BECA-C614DFD15079}">
      <text>
        <t xml:space="preserve">[Threaded comment]
Your version of Excel allows you to read this threaded comment; however, any edits to it will get removed if the file is opened in a newer version of Excel. Learn more: https://go.microsoft.com/fwlink/?linkid=870924
Comment:
    "We present a scatterplot of lab-based rs regressed onto field-based rs, which highlights the general trend of greater effect size correspondence when attitudinal outcomes are employed"​ </t>
      </text>
    </comment>
    <comment ref="DE54" authorId="722" shapeId="0" xr:uid="{9C23906E-1ECC-48B2-B8A0-BB94E8E626DF}">
      <text>
        <t>[Threaded comment]
Your version of Excel allows you to read this threaded comment; however, any edits to it will get removed if the file is opened in a newer version of Excel. Learn more: https://go.microsoft.com/fwlink/?linkid=870924
Comment:
    Table 1</t>
      </text>
    </comment>
    <comment ref="DG54" authorId="723" shapeId="0" xr:uid="{FDB05D8C-22D0-4F5A-831D-425C094D21E3}">
      <text>
        <t>[Threaded comment]
Your version of Excel allows you to read this threaded comment; however, any edits to it will get removed if the file is opened in a newer version of Excel. Learn more: https://go.microsoft.com/fwlink/?linkid=870924
Comment:
    Table 2</t>
      </text>
    </comment>
    <comment ref="E55" authorId="724" shapeId="0" xr:uid="{88F672B7-7EEB-48DB-97C9-8E6ADB030F1A}">
      <text>
        <t>[Threaded comment]
Your version of Excel allows you to read this threaded comment; however, any edits to it will get removed if the file is opened in a newer version of Excel. Learn more: https://go.microsoft.com/fwlink/?linkid=870924
Comment:
    2023?</t>
      </text>
    </comment>
    <comment ref="AE55" authorId="725" shapeId="0" xr:uid="{82F8705B-BCE6-476D-9954-F611E5ED0D12}">
      <text>
        <t>[Threaded comment]
Your version of Excel allows you to read this threaded comment; however, any edits to it will get removed if the file is opened in a newer version of Excel. Learn more: https://go.microsoft.com/fwlink/?linkid=870924
Comment:
    They state: ”Considering the countries of origin of the meta-analytical studies, the United States (31%), Brazil (26%), India (6.7%), and China (6.7%) had more papers published on this topic.”</t>
      </text>
    </comment>
    <comment ref="AF55" authorId="726" shapeId="0" xr:uid="{98F7552A-92EC-C64A-A979-85527413992D}">
      <text>
        <t xml:space="preserve">[Threaded comment]
Your version of Excel allows you to read this threaded comment; however, any edits to it will get removed if the file is opened in a newer version of Excel. Learn more: https://go.microsoft.com/fwlink/?linkid=870924
Comment:
    Matos (2011) is written in Portuguese.
</t>
      </text>
    </comment>
    <comment ref="AG55" authorId="727" shapeId="0" xr:uid="{1B59DE47-EF39-4268-9B30-C252F24EC4FD}">
      <text>
        <t>[Threaded comment]
Your version of Excel allows you to read this threaded comment; however, any edits to it will get removed if the file is opened in a newer version of Excel. Learn more: https://go.microsoft.com/fwlink/?linkid=870924
Comment:
    ”We published a call for meta-analysis published papers on main marketing LISTSERV and we have contacted the main meta-analysis research groups around the world asking for unpublished or just-accepted studies ”</t>
      </text>
    </comment>
    <comment ref="AO55" authorId="728" shapeId="0" xr:uid="{8B80F231-4C6F-4D38-956C-1E42A7BE9CF5}">
      <text>
        <t xml:space="preserve">[Threaded comment]
Your version of Excel allows you to read this threaded comment; however, any edits to it will get removed if the file is opened in a newer version of Excel. Learn more: https://go.microsoft.com/fwlink/?linkid=870924
Comment:
    The paper likely includes cross-sectional and longitudinal studies because these are the standard designs for analyzing constructs like satisfaction, trust, and loyalty in customer behavior research. This aligns with the large dataset and typical practices in meta-analyses. However, the paper does not explicitly state the study designs. </t>
      </text>
    </comment>
    <comment ref="AW55" authorId="729" shapeId="0" xr:uid="{C7E5420F-01AB-4EF6-9634-7E01A573D3B6}">
      <text>
        <t xml:space="preserve">[Threaded comment]
Your version of Excel allows you to read this threaded comment; however, any edits to it will get removed if the file is opened in a newer version of Excel. Learn more: https://go.microsoft.com/fwlink/?linkid=870924
Comment:
    "We transformed the effect-sizes into Pearson product–moment correlation coefficient, r-Pearson, according to common computation methods described in the literature. </t>
      </text>
    </comment>
    <comment ref="BF55" authorId="730" shapeId="0" xr:uid="{038B971C-4208-45B6-A2A1-255C58D64614}">
      <text>
        <t xml:space="preserve">[Threaded comment]
Your version of Excel allows you to read this threaded comment; however, any edits to it will get removed if the file is opened in a newer version of Excel. Learn more: https://go.microsoft.com/fwlink/?linkid=870924
Comment:
    "Two research assistants independently coded each meta-analysis and we achieve the inter-rater reliability Cohen's kappa = 0.91 (McHugh, 2012). An experienced researcher resolved discrepancies and disagreements resulted from the coding strategy."​ </t>
      </text>
    </comment>
    <comment ref="CB55" authorId="731" shapeId="0" xr:uid="{3A89C19C-AD7D-4E7A-8319-932C83DCCDF9}">
      <text>
        <t xml:space="preserve">[Threaded comment]
Your version of Excel allows you to read this threaded comment; however, any edits to it will get removed if the file is opened in a newer version of Excel. Learn more: https://go.microsoft.com/fwlink/?linkid=870924
Comment:
    "We reported an overall mean ρ = as effect size of second-order effect sizes and calculated ρ = on the basis of the r-Pearson corrected for reliability."​ </t>
      </text>
    </comment>
    <comment ref="CC55" authorId="732" shapeId="0" xr:uid="{71E4496A-5722-364A-8844-F79D5341803D}">
      <text>
        <t>[Threaded comment]
Your version of Excel allows you to read this threaded comment; however, any edits to it will get removed if the file is opened in a newer version of Excel. Learn more: https://go.microsoft.com/fwlink/?linkid=870924
Comment:
    Table 2</t>
      </text>
    </comment>
    <comment ref="CD55" authorId="733" shapeId="0" xr:uid="{8DD2A863-0CD1-D74B-985C-43B783C380E0}">
      <text>
        <t xml:space="preserve">[Threaded comment]
Your version of Excel allows you to read this threaded comment; however, any edits to it will get removed if the file is opened in a newer version of Excel. Learn more: https://go.microsoft.com/fwlink/?linkid=870924
Comment:
    "All effect sizes are used as inputs for the structural equation model to build the pooled correlation matrix." 
"We used MASEM to evaluate multiple frameworks and establish the superiority of one type of process or mechanism over another." </t>
      </text>
    </comment>
    <comment ref="CR55" authorId="734" shapeId="0" xr:uid="{EEDC4EA3-0D78-4141-BB8B-784527DA9812}">
      <text>
        <t>[Threaded comment]
Your version of Excel allows you to read this threaded comment; however, any edits to it will get removed if the file is opened in a newer version of Excel. Learn more: https://go.microsoft.com/fwlink/?linkid=870924
Comment:
    “First, we performed a meta-regression for continuous (publications years, H-index) and dummy variables. Then, we performed subgroup analysis through Fisher-z test (Fisher, 1925) and Zou's (2007) confidence interval (sample type: 1 = Consumer vs. 0 = Others; Context type: 1 = Service vs. 0 =- Others). Table 4 summarises the results.”</t>
      </text>
    </comment>
    <comment ref="CX55" authorId="735" shapeId="0" xr:uid="{0AAA4DEB-F154-47A0-800A-47FA34B2800B}">
      <text>
        <t xml:space="preserve">[Threaded comment]
Your version of Excel allows you to read this threaded comment; however, any edits to it will get removed if the file is opened in a newer version of Excel. Learn more: https://go.microsoft.com/fwlink/?linkid=870924
Comment:
    "We additionally perform two mediation analyses between satisfaction and loyalty. The results support the serial mediation role of trust and commitment through WoM and purchase intention." </t>
      </text>
    </comment>
    <comment ref="DF55" authorId="736" shapeId="0" xr:uid="{E1D44ECA-9429-4E56-94E7-19775B2C1F67}">
      <text>
        <t>[Threaded comment]
Your version of Excel allows you to read this threaded comment; however, any edits to it will get removed if the file is opened in a newer version of Excel. Learn more: https://go.microsoft.com/fwlink/?linkid=870924
Comment:
    Table 2</t>
      </text>
    </comment>
    <comment ref="DL55" authorId="737" shapeId="0" xr:uid="{6CBB9F89-4054-4A60-9624-F6FB72073664}">
      <text>
        <t xml:space="preserve">[Threaded comment]
Your version of Excel allows you to read this threaded comment; however, any edits to it will get removed if the file is opened in a newer version of Excel. Learn more: https://go.microsoft.com/fwlink/?linkid=870924
Comment:
    In the start they mention: "Second-order meta-analysis tests different models and is a methodological technique for improving generalization because of the combination of the plethora of findings."​ </t>
      </text>
    </comment>
    <comment ref="DT55" authorId="738" shapeId="0" xr:uid="{182CA39E-8247-4C07-94BA-D5D2C9C76A1B}">
      <text>
        <t>[Threaded comment]
Your version of Excel allows you to read this threaded comment; however, any edits to it will get removed if the file is opened in a newer version of Excel. Learn more: https://go.microsoft.com/fwlink/?linkid=870924
Comment:
    Osf has a R script</t>
      </text>
    </comment>
    <comment ref="DU55" authorId="739" shapeId="0" xr:uid="{19D5D8D2-7B40-4C30-AB41-96051666ADFB}">
      <text>
        <t>[Threaded comment]
Your version of Excel allows you to read this threaded comment; however, any edits to it will get removed if the file is opened in a newer version of Excel. Learn more: https://go.microsoft.com/fwlink/?linkid=870924
Comment:
    Osf .xlsx file</t>
      </text>
    </comment>
    <comment ref="AG56" authorId="740" shapeId="0" xr:uid="{30720D77-9C8C-4A8A-BFC8-664B9251AE1C}">
      <text>
        <t xml:space="preserve">[Threaded comment]
Your version of Excel allows you to read this threaded comment; however, any edits to it will get removed if the file is opened in a newer version of Excel. Learn more: https://go.microsoft.com/fwlink/?linkid=870924
Comment:
    "As we included only published studies because of poor availability of unpublished studies (e.g., dissertations), a bias certainly exists and has to be considered in the interpretation of the results." </t>
      </text>
    </comment>
    <comment ref="AH56" authorId="741" shapeId="0" xr:uid="{09C4F5F2-B74E-4077-A73E-72281C423886}">
      <text>
        <t xml:space="preserve">[Threaded comment]
Your version of Excel allows you to read this threaded comment; however, any edits to it will get removed if the file is opened in a newer version of Excel. Learn more: https://go.microsoft.com/fwlink/?linkid=870924
Comment:
    "We included meta-analyses that measured the efficacy of parent-based interventions for infants, toddlers, preschool- and school-aged children with externalizing behavior problems." </t>
      </text>
    </comment>
    <comment ref="AI56" authorId="742" shapeId="0" xr:uid="{A94054F3-B6CB-4DB3-8FFB-054F3F8E15E5}">
      <text>
        <t>[Threaded comment]
Your version of Excel allows you to read this threaded comment; however, any edits to it will get removed if the file is opened in a newer version of Excel. Learn more: https://go.microsoft.com/fwlink/?linkid=870924
Comment:
    appendix</t>
      </text>
    </comment>
    <comment ref="AJ56" authorId="743" shapeId="0" xr:uid="{8E94C109-B284-4C5E-94A2-C653C0836441}">
      <text>
        <t>[Threaded comment]
Your version of Excel allows you to read this threaded comment; however, any edits to it will get removed if the file is opened in a newer version of Excel. Learn more: https://go.microsoft.com/fwlink/?linkid=870924
Comment:
    “Eligibility assessment was performed by two reviewers (LW, TM). Disagreements between reviewers were resolved by consensus.”</t>
      </text>
    </comment>
    <comment ref="AO56" authorId="744" shapeId="0" xr:uid="{B5D0DB9A-BD9A-499C-816C-1B0853DAF2CE}">
      <text>
        <t xml:space="preserve">[Threaded comment]
Your version of Excel allows you to read this threaded comment; however, any edits to it will get removed if the file is opened in a newer version of Excel. Learn more: https://go.microsoft.com/fwlink/?linkid=870924
Comment:
    "As meta-analyses included randomized controlled trials (RCT) as well as uncontrolled trials, effects were calculated as comparisons of intervention and control groups as well as within pre-post effects." </t>
      </text>
    </comment>
    <comment ref="AW56" authorId="745" shapeId="0" xr:uid="{AD99BE68-2176-4C51-B7ED-EE3CB1F302AD}">
      <text>
        <t xml:space="preserve">[Threaded comment]
Your version of Excel allows you to read this threaded comment; however, any edits to it will get removed if the file is opened in a newer version of Excel. Learn more: https://go.microsoft.com/fwlink/?linkid=870924
Comment:
    "The effect estimates of each meta-analysis were transformed to standardized mean differences (SMD)." </t>
      </text>
    </comment>
    <comment ref="BF56" authorId="746" shapeId="0" xr:uid="{749D9D7F-C84B-4D14-8DC4-5B7234349868}">
      <text>
        <t xml:space="preserve">[Threaded comment]
Your version of Excel allows you to read this threaded comment; however, any edits to it will get removed if the file is opened in a newer version of Excel. Learn more: https://go.microsoft.com/fwlink/?linkid=870924
Comment:
    "The extracted data was checked by two reviewers (LW, TM). Disagreements were resolved by discussion between the two authors." </t>
      </text>
    </comment>
    <comment ref="BG56" authorId="747" shapeId="0" xr:uid="{DAA4E126-0B15-4827-82EF-711F87D2BB89}">
      <text>
        <t xml:space="preserve">[Threaded comment]
Your version of Excel allows you to read this threaded comment; however, any edits to it will get removed if the file is opened in a newer version of Excel. Learn more: https://go.microsoft.com/fwlink/?linkid=870924
Comment:
    "To ascertain inter-rater reliability, the intraclass correlation coefficient (ICC) was estimated for total scores." </t>
      </text>
    </comment>
    <comment ref="BJ56" authorId="748" shapeId="0" xr:uid="{DCFABD91-7449-4252-AB53-813F2EB549B4}">
      <text>
        <t xml:space="preserve">[Threaded comment]
Your version of Excel allows you to read this threaded comment; however, any edits to it will get removed if the file is opened in a newer version of Excel. Learn more: https://go.microsoft.com/fwlink/?linkid=870924
Comment:
    "According to Munder et al. [30], overlap of primary outcome studies might lead to a distortion of results. We thus took overlap of primary outcome studies into account." </t>
      </text>
    </comment>
    <comment ref="BL56" authorId="749" shapeId="0" xr:uid="{2C319438-7E21-4A34-99F1-B5B619CA2A8B}">
      <text>
        <t xml:space="preserve">[Threaded comment]
Your version of Excel allows you to read this threaded comment; however, any edits to it will get removed if the file is opened in a newer version of Excel. Learn more: https://go.microsoft.com/fwlink/?linkid=870924
Comment:
    "When a primary study was included in multiple meta-analyses, an adjusted value for this primary study was calculated to contribute only once to the meta–meta-analysis. This was done by determining the number of meta-analyses in which each primary study was included. The inverse of this number was considered as the uniqueness of this study." </t>
      </text>
    </comment>
    <comment ref="BQ56" authorId="750" shapeId="0" xr:uid="{3E719B46-BDFD-485F-95EB-D27CBF7DBA9C}">
      <text>
        <t xml:space="preserve">[Threaded comment]
Your version of Excel allows you to read this threaded comment; however, any edits to it will get removed if the file is opened in a newer version of Excel. Learn more: https://go.microsoft.com/fwlink/?linkid=870924
Comment:
    "Each item was rated on a 3-point Likert scale ... A quality index for each meta-analysis was built by the mean of the total scores of both raters." </t>
      </text>
    </comment>
    <comment ref="BR56" authorId="751" shapeId="0" xr:uid="{F5AE8D69-D5B7-463C-9792-D88398CC2D30}">
      <text>
        <t xml:space="preserve">[Threaded comment]
Your version of Excel allows you to read this threaded comment; however, any edits to it will get removed if the file is opened in a newer version of Excel. Learn more: https://go.microsoft.com/fwlink/?linkid=870924
Comment:
    "The mean quality index was 37.46 (SD 7.45)... Overall, the quality of included meta-analyses can be viewed as satisfactory." </t>
      </text>
    </comment>
    <comment ref="CB56" authorId="752" shapeId="0" xr:uid="{3DB2D8A4-0BBF-487D-8A1A-80F3CF885310}">
      <text>
        <t xml:space="preserve">[Threaded comment]
Your version of Excel allows you to read this threaded comment; however, any edits to it will get removed if the file is opened in a newer version of Excel. Learn more: https://go.microsoft.com/fwlink/?linkid=870924
Comment:
    "Effect estimates were transformed to standardized mean differences (SMD) and corrected for primary study overlap." </t>
      </text>
    </comment>
    <comment ref="CD56" authorId="753" shapeId="0" xr:uid="{1C7F59F2-78CC-4EB2-9898-D1E5BF79C233}">
      <text>
        <t xml:space="preserve">[Threaded comment]
Your version of Excel allows you to read this threaded comment; however, any edits to it will get removed if the file is opened in a newer version of Excel. Learn more: https://go.microsoft.com/fwlink/?linkid=870924
Comment:
    "If a meta-analysis provided multiple effect sizes for one outcome, estimates were aggregated into a single effect size." </t>
      </text>
    </comment>
    <comment ref="CF56" authorId="754" shapeId="0" xr:uid="{D1D90AB2-C851-4E8A-BBCA-F703C008E5FF}">
      <text>
        <t xml:space="preserve">[Threaded comment]
Your version of Excel allows you to read this threaded comment; however, any edits to it will get removed if the file is opened in a newer version of Excel. Learn more: https://go.microsoft.com/fwlink/?linkid=870924
Comment:
    "We conducted a visual inspection of a funnel plot displaying all included studies ... In accordance with Orwin [41], we calculated Fail-Safe N for each outcome category to control for publication bias." </t>
      </text>
    </comment>
    <comment ref="CL56" authorId="755" shapeId="0" xr:uid="{4080E478-C89B-490C-AD98-BC51FF7DC432}">
      <text>
        <t xml:space="preserve">[Threaded comment]
Your version of Excel allows you to read this threaded comment; however, any edits to it will get removed if the file is opened in a newer version of Excel. Learn more: https://go.microsoft.com/fwlink/?linkid=870924
Comment:
    "We assessed heterogeneity using the Q test and I2 statistics." </t>
      </text>
    </comment>
    <comment ref="CR56" authorId="756" shapeId="0" xr:uid="{80F1AD0A-4655-4F58-9B06-875F67B858B2}">
      <text>
        <t xml:space="preserve">[Threaded comment]
Your version of Excel allows you to read this threaded comment; however, any edits to it will get removed if the file is opened in a newer version of Excel. Learn more: https://go.microsoft.com/fwlink/?linkid=870924
Comment:
    "Further subgroup or sensitivity analyses were not conducted due to the small number of included studies and lack of information." </t>
      </text>
    </comment>
    <comment ref="DE56" authorId="757" shapeId="0" xr:uid="{BA7ED3BB-A053-46FE-8425-108BFAF8ECBC}">
      <text>
        <t xml:space="preserve">[Threaded comment]
Your version of Excel allows you to read this threaded comment; however, any edits to it will get removed if the file is opened in a newer version of Excel. Learn more: https://go.microsoft.com/fwlink/?linkid=870924
Comment:
    Characteristics of the included studies are presented in Online Appendix (Table 1). </t>
      </text>
    </comment>
    <comment ref="DF56" authorId="758" shapeId="0" xr:uid="{6E3FA31A-7C03-4FB5-9AD7-22F5E14B5B41}">
      <text>
        <t xml:space="preserve">[Threaded comment]
Your version of Excel allows you to read this threaded comment; however, any edits to it will get removed if the file is opened in a newer version of Excel. Learn more: https://go.microsoft.com/fwlink/?linkid=870924
Comment:
    "Results are presented separately for each parental characteristic and are divided into post-intervention and follow-up outcomes (see Tables S4 and S5 in the Supplementary Material)." </t>
      </text>
    </comment>
    <comment ref="DP56" authorId="759" shapeId="0" xr:uid="{771F95B6-D3AE-4BBD-9F59-749F5B181A7C}">
      <text>
        <t xml:space="preserve">[Threaded comment]
Your version of Excel allows you to read this threaded comment; however, any edits to it will get removed if the file is opened in a newer version of Excel. Learn more: https://go.microsoft.com/fwlink/?linkid=870924
Comment:
    "The meta–meta-analysis is registered in PROSPERO, Registration number CRD42016036486." </t>
      </text>
    </comment>
    <comment ref="AE57" authorId="760" shapeId="0" xr:uid="{FB97DF3A-108B-4056-92AE-137851E054B1}">
      <text>
        <t>[Threaded comment]
Your version of Excel allows you to read this threaded comment; however, any edits to it will get removed if the file is opened in a newer version of Excel. Learn more: https://go.microsoft.com/fwlink/?linkid=870924
Comment:
    "To qualify for inclusion, a record had to... be published, in the English language... “</t>
      </text>
    </comment>
    <comment ref="AN57" authorId="761" shapeId="0" xr:uid="{6BA85A68-FDB8-44F4-B313-01279C17208E}">
      <text>
        <t>[Threaded comment]
Your version of Excel allows you to read this threaded comment; however, any edits to it will get removed if the file is opened in a newer version of Excel. Learn more: https://go.microsoft.com/fwlink/?linkid=870924
Comment:
    Supplementary “A record had to meet four criteria to be included in our final database. Specifically, it had to be (a) a meta-analysis (i.e., primary studies excluded), (b) published (i.e., unpublished theses, dissertations, and conference papers excluded), (c) in the English language, (d) that reported the 3 zero-order relation of C to at least one work relevant variable “</t>
      </text>
    </comment>
    <comment ref="AW57" authorId="762" shapeId="0" xr:uid="{E16412CE-8E47-4FD0-8A47-D85007C9F959}">
      <text>
        <t xml:space="preserve">[Threaded comment]
Your version of Excel allows you to read this threaded comment; however, any edits to it will get removed if the file is opened in a newer version of Excel. Learn more: https://go.microsoft.com/fwlink/?linkid=870924
Comment:
    "We systematically extracted relevant descriptive statistics from qualifying meta-analyses, including... the mean sample-size weighted observed effect size (e.g., r, d, or z), and an index of between-studies variability." </t>
      </text>
    </comment>
    <comment ref="BF57" authorId="763" shapeId="0" xr:uid="{68AAB07B-96EF-4AD4-9549-FAAD10BC50BE}">
      <text>
        <t xml:space="preserve">[Threaded comment]
Your version of Excel allows you to read this threaded comment; however, any edits to it will get removed if the file is opened in a newer version of Excel. Learn more: https://go.microsoft.com/fwlink/?linkid=870924
Comment:
    Supplementary: "The two authors each coded 51 meta-analyses... Both authors also coded 10 meta-analyses." </t>
      </text>
    </comment>
    <comment ref="BJ57" authorId="764" shapeId="0" xr:uid="{05EF436E-7042-2540-BF94-7C91D9B26E4A}">
      <text>
        <t>[Threaded comment]
Your version of Excel allows you to read this threaded comment; however, any edits to it will get removed if the file is opened in a newer version of Excel. Learn more: https://go.microsoft.com/fwlink/?linkid=870924
Comment:
    “To determine if these meta-analyses had overlapping constituent studies, we scrutinized their Methods and Reference sections.“</t>
      </text>
    </comment>
    <comment ref="BL57" authorId="765" shapeId="0" xr:uid="{68D55081-B6BA-44DC-8EC3-ADEBC5AB6DE3}">
      <text>
        <t xml:space="preserve">[Threaded comment]
Your version of Excel allows you to read this threaded comment; however, any edits to it will get removed if the file is opened in a newer version of Excel. Learn more: https://go.microsoft.com/fwlink/?linkid=870924
Comment:
    "Meta-analyses that were explicitly updates of prior reviews, or had overlapping primary studies, were marked accordingly." </t>
      </text>
    </comment>
    <comment ref="BT57" authorId="766" shapeId="0" xr:uid="{A775E6D3-B394-45FC-B8BF-2D1978E8994C}">
      <text>
        <t xml:space="preserve">[Threaded comment]
Your version of Excel allows you to read this threaded comment; however, any edits to it will get removed if the file is opened in a newer version of Excel. Learn more: https://go.microsoft.com/fwlink/?linkid=870924
Comment:
    "Procedures from Hunter and Schmidt’s (13) psychometric meta-analysis were used to update estimates from meta-analyses included in our review using a common set of statistical corrections." </t>
      </text>
    </comment>
    <comment ref="CB57" authorId="767" shapeId="0" xr:uid="{42C1C05E-61E0-487A-A340-438C3C17D0A4}">
      <text>
        <t xml:space="preserve">[Threaded comment]
Your version of Excel allows you to read this threaded comment; however, any edits to it will get removed if the file is opened in a newer version of Excel. Learn more: https://go.microsoft.com/fwlink/?linkid=870924
Comment:
    "The observed correlation was also corrected for attenuation due to measurement error." </t>
      </text>
    </comment>
    <comment ref="CC57" authorId="768" shapeId="0" xr:uid="{759CAFE8-D185-4A72-A5C8-30343DE60E9F}">
      <text>
        <t xml:space="preserve">[Threaded comment]
Your version of Excel allows you to read this threaded comment; however, any edits to it will get removed if the file is opened in a newer version of Excel. Learn more: https://go.microsoft.com/fwlink/?linkid=870924
Comment:
    "For variables reporting multiple, independent effects, effects were combined using second-order meta-analysis." </t>
      </text>
    </comment>
    <comment ref="CD57" authorId="769" shapeId="0" xr:uid="{EB2B296E-2601-44B4-97F4-4B6D4B04933F}">
      <text>
        <t xml:space="preserve">[Threaded comment]
Your version of Excel allows you to read this threaded comment; however, any edits to it will get removed if the file is opened in a newer version of Excel. Learn more: https://go.microsoft.com/fwlink/?linkid=870924
Comment:
    "Second-order meta-analysis uses basic descriptive statistics (i.e., k, N, r, and SDr) and mean population correlations (ρ) from two or more first-order meta-analyses." </t>
      </text>
    </comment>
    <comment ref="CE57" authorId="770" shapeId="0" xr:uid="{888BB855-1B51-4C80-8D79-E760D38C28D0}">
      <text>
        <t xml:space="preserve">[Threaded comment]
Your version of Excel allows you to read this threaded comment; however, any edits to it will get removed if the file is opened in a newer version of Excel. Learn more: https://go.microsoft.com/fwlink/?linkid=870924
Comment:
    The authors did not directly conduct publication bias analyses themselves. Instead, they summarized and evaluated how contributing meta-analyses addressed publication bias.
"We undertook an evaluation of post hoc and preventive approaches used in addressing publication bias in C meta-analyses qualifying for inclusion in our review."
</t>
      </text>
    </comment>
    <comment ref="CL57" authorId="771" shapeId="0" xr:uid="{514B020D-CB34-43F2-80B7-9FD9FA20E491}">
      <text>
        <t xml:space="preserve">[Threaded comment]
Your version of Excel allows you to read this threaded comment; however, any edits to it will get removed if the file is opened in a newer version of Excel. Learn more: https://go.microsoft.com/fwlink/?linkid=870924
Comment:
    "We systematically extracted... an index of between-studies variability." </t>
      </text>
    </comment>
    <comment ref="CM57" authorId="772" shapeId="0" xr:uid="{1C44986E-8976-474F-97E3-7A22015381C8}">
      <text>
        <t xml:space="preserve">[Threaded comment]
Your version of Excel allows you to read this threaded comment; however, any edits to it will get removed if the file is opened in a newer version of Excel. Learn more: https://go.microsoft.com/fwlink/?linkid=870924
Comment:
    "For meta-analyses reporting confidence intervals or credibility intervals around observed effects (i.e., r), we converted values to standard deviation units." </t>
      </text>
    </comment>
    <comment ref="CR57" authorId="773" shapeId="0" xr:uid="{9F8673F1-33BA-4B18-AB9E-A874FDA299B7}">
      <text>
        <t xml:space="preserve">[Threaded comment]
Your version of Excel allows you to read this threaded comment; however, any edits to it will get removed if the file is opened in a newer version of Excel. Learn more: https://go.microsoft.com/fwlink/?linkid=870924
Comment:
    The authors only summarized moderator analyses conducted in the included meta-analyses and did not conduct new, independent moderator analyses. </t>
      </text>
    </comment>
    <comment ref="CW57" authorId="774" shapeId="0" xr:uid="{5A624193-088F-4398-ACB1-69276E298CE7}">
      <text>
        <t>[Threaded comment]
Your version of Excel allows you to read this threaded comment; however, any edits to it will get removed if the file is opened in a newer version of Excel. Learn more: https://go.microsoft.com/fwlink/?linkid=870924
Comment:
    Table S19 in supplementary</t>
      </text>
    </comment>
    <comment ref="DC57" authorId="775" shapeId="0" xr:uid="{DAC54D8A-F700-4E00-9FF3-598C0685EF27}">
      <text>
        <t>[Threaded comment]
Your version of Excel allows you to read this threaded comment; however, any edits to it will get removed if the file is opened in a newer version of Excel. Learn more: https://go.microsoft.com/fwlink/?linkid=870924
Comment:
    Figure 2 and Figure 1</t>
      </text>
    </comment>
    <comment ref="DE57" authorId="776" shapeId="0" xr:uid="{B8F09402-1ACC-48D0-889B-71A63AA00577}">
      <text>
        <t>[Threaded comment]
Your version of Excel allows you to read this threaded comment; however, any edits to it will get removed if the file is opened in a newer version of Excel. Learn more: https://go.microsoft.com/fwlink/?linkid=870924
Comment:
    Tab s1</t>
      </text>
    </comment>
    <comment ref="DF57" authorId="777" shapeId="0" xr:uid="{6CE763F9-B9B3-468C-B78E-09D72E6561CF}">
      <text>
        <t>[Threaded comment]
Your version of Excel allows you to read this threaded comment; however, any edits to it will get removed if the file is opened in a newer version of Excel. Learn more: https://go.microsoft.com/fwlink/?linkid=870924
Comment:
    Table S10-15 (supp)</t>
      </text>
    </comment>
    <comment ref="DG57" authorId="778" shapeId="0" xr:uid="{D2766271-146E-164E-93F6-95DAF89932FD}">
      <text>
        <t>[Threaded comment]
Your version of Excel allows you to read this threaded comment; however, any edits to it will get removed if the file is opened in a newer version of Excel. Learn more: https://go.microsoft.com/fwlink/?linkid=870924
Comment:
    Table S9</t>
      </text>
    </comment>
    <comment ref="DJ57" authorId="779" shapeId="0" xr:uid="{709F1C1E-69AE-41E2-AF80-779B80E3298E}">
      <text>
        <t xml:space="preserve">[Threaded comment]
Your version of Excel allows you to read this threaded comment; however, any edits to it will get removed if the file is opened in a newer version of Excel. Learn more: https://go.microsoft.com/fwlink/?linkid=870924
Comment:
    No, not in the paper, but discussed in the supplementary
"We undertook an evaluation of post hoc and preventive approaches used in addressing publication bias in C meta-analyses qualifying for inclusion in our review." </t>
      </text>
    </comment>
    <comment ref="DK57" authorId="780" shapeId="0" xr:uid="{979DC151-86C3-49ED-B2B8-4ABB8FDF8603}">
      <text>
        <t xml:space="preserve">[Threaded comment]
Your version of Excel allows you to read this threaded comment; however, any edits to it will get removed if the file is opened in a newer version of Excel. Learn more: https://go.microsoft.com/fwlink/?linkid=870924
Comment:
    "The publication of the seminal book, 'Publication Bias in Meta-Analysis: Prevention, Assessment, and Adjustments,' gave meta-analysts a key resource to deal with publication bias... due to the surging interest and participation in unbiased and open science." </t>
      </text>
    </comment>
    <comment ref="AE58" authorId="781" shapeId="0" xr:uid="{9E8031EC-7777-4F6E-8DA9-30529769C643}">
      <text>
        <t>[Threaded comment]
Your version of Excel allows you to read this threaded comment; however, any edits to it will get removed if the file is opened in a newer version of Excel. Learn more: https://go.microsoft.com/fwlink/?linkid=870924
Comment:
    “both of which limited records to the English language only “</t>
      </text>
    </comment>
    <comment ref="AG58" authorId="782" shapeId="0" xr:uid="{DCEB8929-D7B4-459F-93A8-A68AC59F786C}">
      <text>
        <t xml:space="preserve">[Threaded comment]
Your version of Excel allows you to read this threaded comment; however, any edits to it will get removed if the file is opened in a newer version of Excel. Learn more: https://go.microsoft.com/fwlink/?linkid=870924
Comment:
    “... published (i.e., unpublished theses, dissertations, and conference papers excluded). </t>
      </text>
    </comment>
    <comment ref="AO58" authorId="783" shapeId="0" xr:uid="{639E2D3D-927A-44E9-8CA5-559D48F244DF}">
      <text>
        <t>[Threaded comment]
Your version of Excel allows you to read this threaded comment; however, any edits to it will get removed if the file is opened in a newer version of Excel. Learn more: https://go.microsoft.com/fwlink/?linkid=870924
Comment:
    While the paper does not explicitly mention experimental designs such as Randomized Controlled Trials (RCTs), the focus on "consequential external variables" and "general adult populations" suggests a reliance on observational studies. 
“The goal of our study was to examine relations of Agreeableness and its lower order traits to consequential external variables that would permit inferences to the general adult population.”​
This indicates that the included studies were broad and representative, likely observational</t>
      </text>
    </comment>
    <comment ref="AW58" authorId="784" shapeId="0" xr:uid="{47743B0A-28DC-4777-BEC3-03C051ED2512}">
      <text>
        <t xml:space="preserve">[Threaded comment]
Your version of Excel allows you to read this threaded comment; however, any edits to it will get removed if the file is opened in a newer version of Excel. Learn more: https://go.microsoft.com/fwlink/?linkid=870924
Comment:
    “We systematically extracted descriptive information… including its mean sample-size-weighted observed effect size (e.g., r,d, or zr,d, or z).”​ and “Thus, we estimated the mean population correlation (i.e., ρρ) and its standard deviation (i.e., SDρ). Both rr and ρρ are parameter estimates—the latter is corrected for statistical artifacts, but the former is not.” </t>
      </text>
    </comment>
    <comment ref="BJ58" authorId="785" shapeId="0" xr:uid="{2B0B6D10-293D-4AF8-9FC7-E7F01A382B29}">
      <text>
        <t xml:space="preserve">[Threaded comment]
Your version of Excel allows you to read this threaded comment; however, any edits to it will get removed if the file is opened in a newer version of Excel. Learn more: https://go.microsoft.com/fwlink/?linkid=870924
Comment:
    “To determine whether these meta-analyses contained non-overlapping primary studies, we examined their Methods and References sections.”​ </t>
      </text>
    </comment>
    <comment ref="BT58" authorId="786" shapeId="0" xr:uid="{CFFE0803-E7F2-4E50-A87A-9DDA4817ECD3}">
      <text>
        <t xml:space="preserve">[Threaded comment]
Your version of Excel allows you to read this threaded comment; however, any edits to it will get removed if the file is opened in a newer version of Excel. Learn more: https://go.microsoft.com/fwlink/?linkid=870924
Comment:
    “We used procedures from psychometric meta-analysis (Hunter &amp; Schmidt, 2014) to update estimates from meta-analyses included in our review with a common set of statistical corrections.” 
“Second-order meta-analysis extends psychometric meta-analysis by enabling the cumulation of independent meta-analytic estimates, which helps refine population parameter estimates and accounts for second-order sampling error.”​ </t>
      </text>
    </comment>
    <comment ref="CB58" authorId="787" shapeId="0" xr:uid="{027F1A0C-F061-4802-BA0E-725A23DF9151}">
      <text>
        <t xml:space="preserve">[Threaded comment]
Your version of Excel allows you to read this threaded comment; however, any edits to it will get removed if the file is opened in a newer version of Excel. Learn more: https://go.microsoft.com/fwlink/?linkid=870924
Comment:
    The authors corrected for statistical artifacts, such as measurement error and sampling variance, to provide more accurate population-level estimates. 
“Thus, we estimated the mean population correlation (i.e., ρρ) and its standard deviation (i.e., SDρ). Both rr and ρρ are parameter estimates—the latter is corrected for statistical artifacts, but the former is not.”​ </t>
      </text>
    </comment>
    <comment ref="CD58" authorId="788" shapeId="0" xr:uid="{A3F82B5B-D5F6-4C10-9861-2E3C51F215FF}">
      <text>
        <t xml:space="preserve">[Threaded comment]
Your version of Excel allows you to read this threaded comment; however, any edits to it will get removed if the file is opened in a newer version of Excel. Learn more: https://go.microsoft.com/fwlink/?linkid=870924
Comment:
    “For variables with multiple effects, we used the effect from the newer or more comprehensive meta-analysis. Variables with effects from multiple independent meta-analyses were combined via second-order meta-analysis.”​ </t>
      </text>
    </comment>
    <comment ref="CE58" authorId="789" shapeId="0" xr:uid="{4991E3AA-38A7-9A43-A967-F49323FC0D0F}">
      <text>
        <t>[Threaded comment]
Your version of Excel allows you to read this threaded comment; however, any edits to it will get removed if the file is opened in a newer version of Excel. Learn more: https://go.microsoft.com/fwlink/?linkid=870924
Comment:
    The authors seem to have conducted publication biases checks themselves, but only “coded for traditional (e.g., failsafe N), as well as advanced methods of assessing bias (e.g., funnel plots, cumulative meta-analysis, Egger’s test of the intercept, Begg and Mazumdar’s rank correlation test, and the precision-effect test and precision-effect estimate with standard errors [PET-PEESE]). “</t>
      </text>
    </comment>
    <comment ref="CL58" authorId="790" shapeId="0" xr:uid="{2E52702E-4240-4EFC-AD0E-84D114BE7187}">
      <text>
        <t xml:space="preserve">[Threaded comment]
Your version of Excel allows you to read this threaded comment; however, any edits to it will get removed if the file is opened in a newer version of Excel. Learn more: https://go.microsoft.com/fwlink/?linkid=870924
Comment:
    “We subtracted variance that was attributable to sampling and measurement error from the observed variance; likewise, we corrected the observed correlation for measurement error.” 
“Finally, we calculated confidence and credibility intervals around parameters. Credibility intervals (CR) are based on the mean corrected variance between meta-analyses (i.e., SDρ); estimates with 80% intervals that exclude zero are typically interpreted as generalizing across contexts.”​ 
</t>
      </text>
    </comment>
    <comment ref="DA58" authorId="791" shapeId="0" xr:uid="{0F1B2FD3-4E77-4561-9DF5-3B44470C95C3}">
      <text>
        <t>[Threaded comment]
Your version of Excel allows you to read this threaded comment; however, any edits to it will get removed if the file is opened in a newer version of Excel. Learn more: https://go.microsoft.com/fwlink/?linkid=870924
Comment:
    Figure 2</t>
      </text>
    </comment>
    <comment ref="DE58" authorId="792" shapeId="0" xr:uid="{1A1DAF22-6858-5249-9921-11C0368BC716}">
      <text>
        <t xml:space="preserve">[Threaded comment]
Your version of Excel allows you to read this threaded comment; however, any edits to it will get removed if the file is opened in a newer version of Excel. Learn more: https://go.microsoft.com/fwlink/?linkid=870924
Comment:
    Table S26 in the online supplemental material.
</t>
      </text>
    </comment>
    <comment ref="DJ58" authorId="793" shapeId="0" xr:uid="{D6315F0B-ECDA-DB4C-9E40-7D8A171B655A}">
      <text>
        <t>[Threaded comment]
Your version of Excel allows you to read this threaded comment; however, any edits to it will get removed if the file is opened in a newer version of Excel. Learn more: https://go.microsoft.com/fwlink/?linkid=870924
Comment:
    Not in intro or discussion.</t>
      </text>
    </comment>
    <comment ref="DM58" authorId="794" shapeId="0" xr:uid="{6C69677B-AD99-4292-9299-E16F1EEEF2DC}">
      <text>
        <t>[Threaded comment]
Your version of Excel allows you to read this threaded comment; however, any edits to it will get removed if the file is opened in a newer version of Excel. Learn more: https://go.microsoft.com/fwlink/?linkid=870924
Comment:
    ”most publications on principal leadership effects were still from Anglo-American societies (Gumus et al., 2018). On the other hand, the context refers to the background of the school, such as school location and student body composition. However, this information was usually not reported, and the effect of principal leadership was rarely examined with respect to school background, and thus it is not possible for meta-analysis to compare the principalship effect, for example, in urban schools vs. in rural schools, and in low-poverty schools vs. in high-poverty schools. Given the potential moderating impact of school location on the relationship between principal leadership and student achievement (Tan, 2018; Wu, Gao, et al., 2020; Wu, Shen et al., 2020), it is essential that future studies pay more attention to the context of the study (Tanner-Smith &amp; Tipton, 2014; Karadag, ˘ 2015; 2020). Knowing which of the current set of leadership strategies works best in different situations and how different cultures and contexts influence principal leadership effects would inform educational policy and practice. ”</t>
      </text>
    </comment>
    <comment ref="AB59" authorId="795" shapeId="0" xr:uid="{CE3AE806-9D00-4FE4-83B4-A8710F6F9E1C}">
      <text>
        <t xml:space="preserve">[Threaded comment]
Your version of Excel allows you to read this threaded comment; however, any edits to it will get removed if the file is opened in a newer version of Excel. Learn more: https://go.microsoft.com/fwlink/?linkid=870924
Comment:
    The tables in the paper present the number of primary studies and participants divided into groups. However, it is unclear whether there is any overlap between these groups or to what extent such overlap may occur. </t>
      </text>
    </comment>
    <comment ref="AO59" authorId="796" shapeId="0" xr:uid="{9F9165FC-B774-43D5-AD21-EE01D8BF4B49}">
      <text>
        <t xml:space="preserve">[Threaded comment]
Your version of Excel allows you to read this threaded comment; however, any edits to it will get removed if the file is opened in a newer version of Excel. Learn more: https://go.microsoft.com/fwlink/?linkid=870924
Comment:
    The paper does not explicitly specify the study designs </t>
      </text>
    </comment>
    <comment ref="BF59" authorId="797" shapeId="0" xr:uid="{455021A7-DCC2-4F57-BA1D-F2CE71149631}">
      <text>
        <t xml:space="preserve">[Threaded comment]
Your version of Excel allows you to read this threaded comment; however, any edits to it will get removed if the file is opened in a newer version of Excel. Learn more: https://go.microsoft.com/fwlink/?linkid=870924
Comment:
    "A doctoral student with training in personality and meta-analysis extracted basic descriptive information. The first author compared extracted data to the published articles and made corrections as needed"​ </t>
      </text>
    </comment>
    <comment ref="BJ59" authorId="798" shapeId="0" xr:uid="{A42BE2B6-84A2-4D96-A16A-C2CF70F91AB3}">
      <text>
        <t xml:space="preserve">[Threaded comment]
Your version of Excel allows you to read this threaded comment; however, any edits to it will get removed if the file is opened in a newer version of Excel. Learn more: https://go.microsoft.com/fwlink/?linkid=870924
Comment:
    "To determine if these meta-analyses shared overlapping constituent studies, we scrutinized their Method and Reference sections. Meta-analyses that were explicitly updates of prior reviews, or had overlapping primary studies, were marked accordingly, but meta-analyses with evidence of nonredundancy were duly noted"​ </t>
      </text>
    </comment>
    <comment ref="BM59" authorId="799" shapeId="0" xr:uid="{D6C9EBA6-BC52-456A-AFCE-4C0EE404C0BB}">
      <text>
        <t xml:space="preserve">[Threaded comment]
Your version of Excel allows you to read this threaded comment; however, any edits to it will get removed if the file is opened in a newer version of Excel. Learn more: https://go.microsoft.com/fwlink/?linkid=870924
Comment:
    The authors did not systematically exclude or adjust for study overlap using methods like a uniqueness factor or statistical adjustment. Instead, they flagged overlaps during their review of the included meta-analyses. </t>
      </text>
    </comment>
    <comment ref="BT59" authorId="800" shapeId="0" xr:uid="{5B7FAC7C-6F8D-4906-A76B-1BF820B825DA}">
      <text>
        <t xml:space="preserve">[Threaded comment]
Your version of Excel allows you to read this threaded comment; however, any edits to it will get removed if the file is opened in a newer version of Excel. Learn more: https://go.microsoft.com/fwlink/?linkid=870924
Comment:
    “Procedures from Hunter and Schmidt’s (2014) psychometric meta-analysis were used to update estimates from meta-analyses included in our review using a common set of statistical corrections"​ </t>
      </text>
    </comment>
    <comment ref="CL59" authorId="801" shapeId="0" xr:uid="{F2C3E73F-0A38-4CC3-A93B-71B7A3B28B76}">
      <text>
        <t xml:space="preserve">[Threaded comment]
Your version of Excel allows you to read this threaded comment; however, any edits to it will get removed if the file is opened in a newer version of Excel. Learn more: https://go.microsoft.com/fwlink/?linkid=870924
Comment:
    "To correct for measurement error, frequency-weighted artifact distributions were developed from data in their source meta-analysis or from other sources in the literature...Confidence intervals (CI) estimate the boundaries in which the observed correlation is expected to fall based on the standard error of between-study effects. In contrast, credibility intervals (CR) estimate the between-studies heterogeneity in population effects"​ </t>
      </text>
    </comment>
    <comment ref="CR59" authorId="802" shapeId="0" xr:uid="{A868C322-B4F7-4C52-ACAC-1E2B0F830190}">
      <text>
        <t xml:space="preserve">[Threaded comment]
Your version of Excel allows you to read this threaded comment; however, any edits to it will get removed if the file is opened in a newer version of Excel. Learn more: https://go.microsoft.com/fwlink/?linkid=870924
Comment:
    The authors did not conduct formal statistical moderator analyses. However, they organized their findings descriptively into conceptual categories and career domains, which may resemble a framework for examining potential moderators. This organizational approach was not statistically tested as moderation. 
"We then organize effects within a framework of four career domains—education, job application, on the job, and career/lifespan—and five conceptual categories: motivations, values, and interests; attitudes and well-being; interpersonal; performance; and counterproductivity"​ 
</t>
      </text>
    </comment>
    <comment ref="DF59" authorId="803" shapeId="0" xr:uid="{1AA1D340-7BF4-41B3-A9BB-21F695ECEE87}">
      <text>
        <t>[Threaded comment]
Your version of Excel allows you to read this threaded comment; however, any edits to it will get removed if the file is opened in a newer version of Excel. Learn more: https://go.microsoft.com/fwlink/?linkid=870924
Comment:
    Table S4: "Second-Order Meta-Analyses of Extraversion and Education Variables."
Table S5: "Second-Order Meta-Analyses of Extraversion and Job Application Variables."
Table S6: "Second-Order Meta-Analyses of Extraversion and On the Job Variables."
Reply:
    Not sure, if they only repeat the meta-meta-analytic findings from others instead of making their own SOMA.</t>
      </text>
    </comment>
    <comment ref="AB60" authorId="804" shapeId="0" xr:uid="{807CD37E-3E5F-E24C-A9EC-89A99A2ACB33}">
      <text>
        <t>[Threaded comment]
Your version of Excel allows you to read this threaded comment; however, any edits to it will get removed if the file is opened in a newer version of Excel. Learn more: https://go.microsoft.com/fwlink/?linkid=870924
Comment:
    Here, we took the more conservative estimate of "On average, each meta-analysis included about 34 empirical studies"​ - 34x 12 = 408
Alternatively, table 1 has a column N of studies, which we could sum up to reach a total of 543 included studies.</t>
      </text>
    </comment>
    <comment ref="AD60" authorId="805" shapeId="0" xr:uid="{AA6D635A-C0FB-4F9B-848D-4C8F8A3A5C30}">
      <text>
        <t>[Threaded comment]
Your version of Excel allows you to read this threaded comment; however, any edits to it will get removed if the file is opened in a newer version of Excel. Learn more: https://go.microsoft.com/fwlink/?linkid=870924
Comment:
    ”K-12 school and student samples”</t>
      </text>
    </comment>
    <comment ref="AE60" authorId="806" shapeId="0" xr:uid="{22CA1597-B3ED-447B-94BD-A56E01F5EC8D}">
      <text>
        <t>[Threaded comment]
Your version of Excel allows you to read this threaded comment; however, any edits to it will get removed if the file is opened in a newer version of Excel. Learn more: https://go.microsoft.com/fwlink/?linkid=870924
Comment:
    “Publications included had to be written in English"</t>
      </text>
    </comment>
    <comment ref="AG60" authorId="807" shapeId="0" xr:uid="{5A3CF298-939A-426B-9528-D8906A84CD0C}">
      <text>
        <t xml:space="preserve">[Threaded comment]
Your version of Excel allows you to read this threaded comment; however, any edits to it will get removed if the file is opened in a newer version of Excel. Learn more: https://go.microsoft.com/fwlink/?linkid=870924
Comment:
    "Although two meta-analyses were found in the gray literature (one is a report and the other is a book chapter), large majorities of meta-analyses (83%) were published in peer-reviewed journals"​ </t>
      </text>
    </comment>
    <comment ref="AO60" authorId="808" shapeId="0" xr:uid="{BE0C5E65-8826-4055-8190-5899AF569151}">
      <text>
        <t>[Threaded comment]
Your version of Excel allows you to read this threaded comment; however, any edits to it will get removed if the file is opened in a newer version of Excel. Learn more: https://go.microsoft.com/fwlink/?linkid=870924
Comment:
    "The included meta-analyses in our study were almost entirely based on observational studies”
”we contend that a future meta-analysis on those studies would shed more light on possible causal relationships than cross-sectional studies. ”</t>
      </text>
    </comment>
    <comment ref="AW60" authorId="809" shapeId="0" xr:uid="{9DA9A4D0-0092-48A6-9A76-10C109D9939B}">
      <text>
        <t xml:space="preserve">[Threaded comment]
Your version of Excel allows you to read this threaded comment; however, any edits to it will get removed if the file is opened in a newer version of Excel. Learn more: https://go.microsoft.com/fwlink/?linkid=870924
Comment:
    "The effect size index used in this meta-meta-analysis was Cohen’s d" </t>
      </text>
    </comment>
    <comment ref="BJ60" authorId="810" shapeId="0" xr:uid="{3F5B24C8-78C5-164A-BEC4-9F91D3915674}">
      <text>
        <t xml:space="preserve">[Threaded comment]
Your version of Excel allows you to read this threaded comment; however, any edits to it will get removed if the file is opened in a newer version of Excel. Learn more: https://go.microsoft.com/fwlink/?linkid=870924
Comment:
    They discuss overlap, but do not calculate it themselves.
"We understand that some meta-analyses may include the same primary studies, a phenomenon that causes an overlap issue and could bias the results of a meta-meta-analysis. There appears to be no clear guidance available to handle such an issue"​ </t>
      </text>
    </comment>
    <comment ref="CD60" authorId="811" shapeId="0" xr:uid="{CC9A8279-E5F8-4EA6-827C-23A20AC12F1F}">
      <text>
        <t xml:space="preserve">[Threaded comment]
Your version of Excel allows you to read this threaded comment; however, any edits to it will get removed if the file is opened in a newer version of Excel. Learn more: https://go.microsoft.com/fwlink/?linkid=870924
Comment:
    "Multivariate random-effects meta-analysis... is a hierarchical model to handle dependent effect size estimates nested within studies" </t>
      </text>
    </comment>
    <comment ref="CM60" authorId="812" shapeId="0" xr:uid="{3865991A-973B-42BA-90EC-3599B3057975}">
      <text>
        <t>[Threaded comment]
Your version of Excel allows you to read this threaded comment; however, any edits to it will get removed if the file is opened in a newer version of Excel. Learn more: https://go.microsoft.com/fwlink/?linkid=870924
Comment:
    “The multivariate homogeneity test (Becker, 1992; Jackson et al., 2011) for the effect sizes indicates statistically significant between-studies heterogeneity, Q (17) = 273.04, p &lt; .001. The variances of the true effect sizes are ω2 = 0.0302 within study and τ2 = 0.0534 between study.”</t>
      </text>
    </comment>
    <comment ref="CX60" authorId="813" shapeId="0" xr:uid="{15A42149-8BA2-4FAD-8813-F1A9F5C474E9}">
      <text>
        <t xml:space="preserve">[Threaded comment]
Your version of Excel allows you to read this threaded comment; however, any edits to it will get removed if the file is opened in a newer version of Excel. Learn more: https://go.microsoft.com/fwlink/?linkid=870924
Comment:
    "We additionally perform two mediation analyses between satisfaction and loyalty. The results support the serial mediation role of trust and commitment through WoM and purchase intention." </t>
      </text>
    </comment>
    <comment ref="CZ60" authorId="814" shapeId="0" xr:uid="{A799BB96-15AB-4C3B-BAB1-5E01A5BE39EF}">
      <text>
        <t>[Threaded comment]
Your version of Excel allows you to read this threaded comment; however, any edits to it will get removed if the file is opened in a newer version of Excel. Learn more: https://go.microsoft.com/fwlink/?linkid=870924
Comment:
    “The R package metafor (Viechtbauer, 2010) was used to conduct multivariate random-effects models, and clubSandwich (Pustejovsky, 2020a) was used to implement robust variance estimation. “</t>
      </text>
    </comment>
    <comment ref="DE60" authorId="815" shapeId="0" xr:uid="{FA743F14-1ACC-42D3-BF69-5D97DBA633C8}">
      <text>
        <t>[Threaded comment]
Your version of Excel allows you to read this threaded comment; however, any edits to it will get removed if the file is opened in a newer version of Excel. Learn more: https://go.microsoft.com/fwlink/?linkid=870924
Comment:
    Table 1</t>
      </text>
    </comment>
    <comment ref="DH60" authorId="816" shapeId="0" xr:uid="{79FDAEA1-D94D-BC4F-812F-724B0744ADC9}">
      <text>
        <t>[Threaded comment]
Your version of Excel allows you to read this threaded comment; however, any edits to it will get removed if the file is opened in a newer version of Excel. Learn more: https://go.microsoft.com/fwlink/?linkid=870924
Comment:
    Table 2</t>
      </text>
    </comment>
    <comment ref="DL60" authorId="817" shapeId="0" xr:uid="{987FC041-750D-4BD7-9FA8-4E9CE5C6459B}">
      <text>
        <t xml:space="preserve">[Threaded comment]
Your version of Excel allows you to read this threaded comment; however, any edits to it will get removed if the file is opened in a newer version of Excel. Learn more: https://go.microsoft.com/fwlink/?linkid=870924
Comment:
    In the start they mention: "Second-order meta-analysis tests different models and is a methodological technique for improving generalization because of the combination of the plethora of findings."​ </t>
      </text>
    </comment>
    <comment ref="DM60" authorId="818" shapeId="0" xr:uid="{34C6606C-9DAA-4490-BF22-6424BFD5E6F2}">
      <text>
        <t>[Threaded comment]
Your version of Excel allows you to read this threaded comment; however, any edits to it will get removed if the file is opened in a newer version of Excel. Learn more: https://go.microsoft.com/fwlink/?linkid=870924
Comment:
    ”most publications on principal leadership effects were still from Anglo-American societies (Gumus et al., 2018). On the other hand, the context refers to the background of the school, such as school location and student body composition. However, this information was usually not reported, and the effect of principal leadership was rarely examined with respect to school background, and thus it is not possible for meta-analysis to compare the principalship effect, for example, in urban schools vs. in rural schools, and in low-poverty schools vs. in high-poverty schools. Given the potential moderating impact of school location on the relationship between principal leadership and student achievement (Tan, 2018; Wu, Gao, et al., 2020; Wu, Shen et al., 2020), it is essential that future studies pay more attention to the context of the study (Tanner-Smith &amp; Tipton, 2014; Karadag, ˘ 2015; 2020). Knowing which of the current set of leadership strategies works best in different situations and how different cultures and contexts influence principal leadership effects would inform educational policy and practice. ”</t>
      </text>
    </comment>
    <comment ref="W61" authorId="819" shapeId="0" xr:uid="{C950C19A-7F28-4B6E-9899-A81FD6B63FAF}">
      <text>
        <t>[Threaded comment]
Your version of Excel allows you to read this threaded comment; however, any edits to it will get removed if the file is opened in a newer version of Excel. Learn more: https://go.microsoft.com/fwlink/?linkid=870924
Comment:
    Table 4</t>
      </text>
    </comment>
    <comment ref="AB61" authorId="820" shapeId="0" xr:uid="{89BEBFC3-A024-4CAC-91FC-70D815859198}">
      <text>
        <t>[Threaded comment]
Your version of Excel allows you to read this threaded comment; however, any edits to it will get removed if the file is opened in a newer version of Excel. Learn more: https://go.microsoft.com/fwlink/?linkid=870924
Comment:
    Table 1 and 2:
8 + 10 + 17 + 17 + 9 + 19 + 9 + 12 + 13+ 17 = 131</t>
      </text>
    </comment>
    <comment ref="AC61" authorId="821" shapeId="0" xr:uid="{32A5AA03-3941-44CA-B178-4A2A1E14A5D3}">
      <text>
        <t>[Threaded comment]
Your version of Excel allows you to read this threaded comment; however, any edits to it will get removed if the file is opened in a newer version of Excel. Learn more: https://go.microsoft.com/fwlink/?linkid=870924
Comment:
    Tables 1 and 2, the total number of participants across all included studies can be calculated by summing the sample sizes for the experimental group (EG) and control group (CG), sheet 3 in this doc)</t>
      </text>
    </comment>
    <comment ref="AJ61" authorId="822" shapeId="0" xr:uid="{9D0C869D-A93E-4E75-B710-394308B65005}">
      <text>
        <t xml:space="preserve">[Threaded comment]
Your version of Excel allows you to read this threaded comment; however, any edits to it will get removed if the file is opened in a newer version of Excel. Learn more: https://go.microsoft.com/fwlink/?linkid=870924
Comment:
    "Two researchers independently screened articles by title, abstract, and full text" </t>
      </text>
    </comment>
    <comment ref="AK61" authorId="823" shapeId="0" xr:uid="{8B9B1409-0DA9-4E2E-BE55-CCBCC139489F}">
      <text>
        <t>[Threaded comment]
Your version of Excel allows you to read this threaded comment; however, any edits to it will get removed if the file is opened in a newer version of Excel. Learn more: https://go.microsoft.com/fwlink/?linkid=870924
Comment:
    ”Before reaching a consensus, differences between the 2 researchers were discussed. If no agreement was reached, a third researcher made the final decision after a group discussion.”</t>
      </text>
    </comment>
    <comment ref="AO61" authorId="824" shapeId="0" xr:uid="{9DF52175-3441-43F3-B76E-2546225D587F}">
      <text>
        <t xml:space="preserve">[Threaded comment]
Your version of Excel allows you to read this threaded comment; however, any edits to it will get removed if the file is opened in a newer version of Excel. Learn more: https://go.microsoft.com/fwlink/?linkid=870924
Comment:
    "The included meta-analyses had to be randomized controlled trials" </t>
      </text>
    </comment>
    <comment ref="AW61" authorId="825" shapeId="0" xr:uid="{214E6DD0-C6E9-418C-A405-9B40025D2A0E}">
      <text>
        <t xml:space="preserve">[Threaded comment]
Your version of Excel allows you to read this threaded comment; however, any edits to it will get removed if the file is opened in a newer version of Excel. Learn more: https://go.microsoft.com/fwlink/?linkid=870924
Comment:
    "The effect size of each meta-analysis was converted into a standardized mean difference (SMD) to obtain the overall effect size" </t>
      </text>
    </comment>
    <comment ref="BF61" authorId="826" shapeId="0" xr:uid="{4ECF9608-4D24-4271-89BD-4D64BA490A9C}">
      <text>
        <t xml:space="preserve">[Threaded comment]
Your version of Excel allows you to read this threaded comment; however, any edits to it will get removed if the file is opened in a newer version of Excel. Learn more: https://go.microsoft.com/fwlink/?linkid=870924
Comment:
    "The methodological quality was evaluated by two researchers who independently coded using an 11-item multisystem evaluation tool" </t>
      </text>
    </comment>
    <comment ref="BG61" authorId="827" shapeId="0" xr:uid="{3F91359E-8A07-4DFB-B02A-0B084B1651DE}">
      <text>
        <t xml:space="preserve">[Threaded comment]
Your version of Excel allows you to read this threaded comment; however, any edits to it will get removed if the file is opened in a newer version of Excel. Learn more: https://go.microsoft.com/fwlink/?linkid=870924
Comment:
    "The reliability of the quality evaluation was high (ICC=0.96, 95% CI 0.93-0.98, P&lt;.001)" </t>
      </text>
    </comment>
    <comment ref="BJ61" authorId="828" shapeId="0" xr:uid="{BA1B78C1-2DFE-4C5A-ABC9-83D4387E142C}">
      <text>
        <t xml:space="preserve">[Threaded comment]
Your version of Excel allows you to read this threaded comment; however, any edits to it will get removed if the file is opened in a newer version of Excel. Learn more: https://go.microsoft.com/fwlink/?linkid=870924
Comment:
    "Considering that the overlap of research in a meta-meta-analysis may lead to distortion of the results, this study took the overlap of main results into account and corrected for the overlap of initial studies" </t>
      </text>
    </comment>
    <comment ref="BL61" authorId="829" shapeId="0" xr:uid="{DAB4B45C-F195-44A0-A7CD-9D87A7CA31EF}">
      <text>
        <t xml:space="preserve">[Threaded comment]
Your version of Excel allows you to read this threaded comment; however, any edits to it will get removed if the file is opened in a newer version of Excel. Learn more: https://go.microsoft.com/fwlink/?linkid=870924
Comment:
    "When an experimental study was included in multiple meta-analysis studies, it only contributed to this meta-meta-analysis. This was mainly completed by determining the number of meta-analyses of each significant study. For each meta-meta-analysis, the uniqueness of each included meta-analysis was added to set the adjusted research number: kadj" </t>
      </text>
    </comment>
    <comment ref="BN61" authorId="830" shapeId="0" xr:uid="{E3D82598-1CF4-4F46-8A53-510B6F1F4817}">
      <text>
        <t xml:space="preserve">[Threaded comment]
Your version of Excel allows you to read this threaded comment; however, any edits to it will get removed if the file is opened in a newer version of Excel. Learn more: https://go.microsoft.com/fwlink/?linkid=870924
Comment:
    "The methodological quality was evaluated by two researchers who independently coded using an 11-item multisystem evaluation tool" </t>
      </text>
    </comment>
    <comment ref="BQ61" authorId="831" shapeId="0" xr:uid="{723075FB-9B61-4DAD-A224-494143D40FDE}">
      <text>
        <t xml:space="preserve">[Threaded comment]
Your version of Excel allows you to read this threaded comment; however, any edits to it will get removed if the file is opened in a newer version of Excel. Learn more: https://go.microsoft.com/fwlink/?linkid=870924
Comment:
    "The total score of each meta-analysis was the sum of the 11 items, and the quality evaluation was set as low quality (0-4), medium quality (5-8), or high quality (9-11)" </t>
      </text>
    </comment>
    <comment ref="BR61" authorId="832" shapeId="0" xr:uid="{157239D1-FF1B-4E4D-B7F1-C77ACD024D98}">
      <text>
        <t xml:space="preserve">[Threaded comment]
Your version of Excel allows you to read this threaded comment; however, any edits to it will get removed if the file is opened in a newer version of Excel. Learn more: https://go.microsoft.com/fwlink/?linkid=870924
Comment:
    "The meta-analyses assessed as low quality were excluded" </t>
      </text>
    </comment>
    <comment ref="CD61" authorId="833" shapeId="0" xr:uid="{5CAFF6C7-B482-4D21-9EBE-6244E23F20A0}">
      <text>
        <t xml:space="preserve">[Threaded comment]
Your version of Excel allows you to read this threaded comment; however, any edits to it will get removed if the file is opened in a newer version of Excel. Learn more: https://go.microsoft.com/fwlink/?linkid=870924
Comment:
    "Only one effect size was extracted for each meta-analysis" </t>
      </text>
    </comment>
    <comment ref="CE61" authorId="834" shapeId="0" xr:uid="{1AFB5B47-8C3D-4100-A597-8EBD7D2EAC65}">
      <text>
        <t xml:space="preserve">[Threaded comment]
Your version of Excel allows you to read this threaded comment; however, any edits to it will get removed if the file is opened in a newer version of Excel. Learn more: https://go.microsoft.com/fwlink/?linkid=870924
Comment:
    "Since there were less than 10 meta-analysis articles for each result in this study, no funnel plot was generated, and the Egger test was used to evaluate the publication bias" </t>
      </text>
    </comment>
    <comment ref="CL61" authorId="835" shapeId="0" xr:uid="{EDD53067-970E-4302-B1FB-100EBB2B0AD9}">
      <text>
        <t xml:space="preserve">[Threaded comment]
Your version of Excel allows you to read this threaded comment; however, any edits to it will get removed if the file is opened in a newer version of Excel. Learn more: https://go.microsoft.com/fwlink/?linkid=870924
Comment:
    "The weighted estimation of heterogeneity in all of the meta-analyses was quantified as I²" 
"Heterogeneity is... the percentage of total variation among studies, with 25%, 50%, and 75% representing low, medium, and high, respectively" 
</t>
      </text>
    </comment>
    <comment ref="CR61" authorId="836" shapeId="0" xr:uid="{A3414097-A692-4986-B199-ABC91C73277F}">
      <text>
        <t xml:space="preserve">[Threaded comment]
Your version of Excel allows you to read this threaded comment; however, any edits to it will get removed if the file is opened in a newer version of Excel. Learn more: https://go.microsoft.com/fwlink/?linkid=870924
Comment:
    "Because of the small number of included studies, further subgroup analysis and sensitivity analysis were not conducted in this study" </t>
      </text>
    </comment>
    <comment ref="DA61" authorId="837" shapeId="0" xr:uid="{F9241458-7C56-49BE-BEBE-FC93D0A1B2B6}">
      <text>
        <t>[Threaded comment]
Your version of Excel allows you to read this threaded comment; however, any edits to it will get removed if the file is opened in a newer version of Excel. Learn more: https://go.microsoft.com/fwlink/?linkid=870924
Comment:
    Figure 1</t>
      </text>
    </comment>
    <comment ref="DC61" authorId="838" shapeId="0" xr:uid="{C694C162-4BC3-49BC-A9F8-965FDCC49C18}">
      <text>
        <t>[Threaded comment]
Your version of Excel allows you to read this threaded comment; however, any edits to it will get removed if the file is opened in a newer version of Excel. Learn more: https://go.microsoft.com/fwlink/?linkid=870924
Comment:
    Figure 2 and Figure 3</t>
      </text>
    </comment>
    <comment ref="DE61" authorId="839" shapeId="0" xr:uid="{254C0D18-D945-49B5-9703-D64389BE7128}">
      <text>
        <t>[Threaded comment]
Your version of Excel allows you to read this threaded comment; however, any edits to it will get removed if the file is opened in a newer version of Excel. Learn more: https://go.microsoft.com/fwlink/?linkid=870924
Comment:
    Table 1-3</t>
      </text>
    </comment>
    <comment ref="DF61" authorId="840" shapeId="0" xr:uid="{F281DC4A-D6A9-4701-9C4E-8256DA006818}">
      <text>
        <t>[Threaded comment]
Your version of Excel allows you to read this threaded comment; however, any edits to it will get removed if the file is opened in a newer version of Excel. Learn more: https://go.microsoft.com/fwlink/?linkid=870924
Comment:
    Table 1-3</t>
      </text>
    </comment>
    <comment ref="DH61" authorId="841" shapeId="0" xr:uid="{0DC74CF8-9387-4CAA-A4A6-84B0F6AED04E}">
      <text>
        <t>[Threaded comment]
Your version of Excel allows you to read this threaded comment; however, any edits to it will get removed if the file is opened in a newer version of Excel. Learn more: https://go.microsoft.com/fwlink/?linkid=870924
Comment:
    Table 4</t>
      </text>
    </comment>
    <comment ref="CS62" authorId="842" shapeId="0" xr:uid="{0C598717-9A5A-4115-96D6-2C9A0E2A053A}">
      <text>
        <t xml:space="preserve">[Threaded comment]
Your version of Excel allows you to read this threaded comment; however, any edits to it will get removed if the file is opened in a newer version of Excel. Learn more: https://go.microsoft.com/fwlink/?linkid=870924
Comment:
    Meta-regression was used to test whether methodological quality also moderated this relationship. </t>
      </text>
    </comment>
    <comment ref="DE62" authorId="843" shapeId="0" xr:uid="{199EDB47-0A39-4498-B127-9CEB8ECA13EC}">
      <text>
        <t>[Threaded comment]
Your version of Excel allows you to read this threaded comment; however, any edits to it will get removed if the file is opened in a newer version of Excel. Learn more: https://go.microsoft.com/fwlink/?linkid=870924
Comment:
    Table 2</t>
      </text>
    </comment>
    <comment ref="DF62" authorId="844" shapeId="0" xr:uid="{416937B8-4294-DB49-BFBF-F6398AE3B112}">
      <text>
        <t xml:space="preserve">[Threaded comment]
Your version of Excel allows you to read this threaded comment; however, any edits to it will get removed if the file is opened in a newer version of Excel. Learn more: https://go.microsoft.com/fwlink/?linkid=870924
Comment:
    Table 5
</t>
      </text>
    </comment>
    <comment ref="AE63" authorId="845" shapeId="0" xr:uid="{6BF2AF7E-F7F3-4088-BDED-94F00011D056}">
      <text>
        <t>[Threaded comment]
Your version of Excel allows you to read this threaded comment; however, any edits to it will get removed if the file is opened in a newer version of Excel. Learn more: https://go.microsoft.com/fwlink/?linkid=870924
Comment:
    Table A.1</t>
      </text>
    </comment>
    <comment ref="AG63" authorId="846" shapeId="0" xr:uid="{E35A7048-AF13-4BD0-8311-73F022F94C73}">
      <text>
        <t>[Threaded comment]
Your version of Excel allows you to read this threaded comment; however, any edits to it will get removed if the file is opened in a newer version of Excel. Learn more: https://go.microsoft.com/fwlink/?linkid=870924
Comment:
    Table A.3</t>
      </text>
    </comment>
    <comment ref="AW63" authorId="847" shapeId="0" xr:uid="{8722F112-4F49-435D-BFA3-2F61CED694B4}">
      <text>
        <t xml:space="preserve">[Threaded comment]
Your version of Excel allows you to read this threaded comment; however, any edits to it will get removed if the file is opened in a newer version of Excel. Learn more: https://go.microsoft.com/fwlink/?linkid=870924
Comment:
    "The majority of the meta-analyses included in this second-order meta-analysis calculated the overall effect size using Hedges' g, while a few studies utilized Cohen's d"​ </t>
      </text>
    </comment>
    <comment ref="BJ63" authorId="848" shapeId="0" xr:uid="{F291679E-F168-485D-A091-9C93481C89C2}">
      <text>
        <t xml:space="preserve">[Threaded comment]
Your version of Excel allows you to read this threaded comment; however, any edits to it will get removed if the file is opened in a newer version of Excel. Learn more: https://go.microsoft.com/fwlink/?linkid=870924
Comment:
    "To examine the independence of samples between the included first-order meta-analysis, the independent studies identified in each first-order meta-analysis were placed in Microsoft Excel, and the overlap between studies was examined manually and confirmed digitally" </t>
      </text>
    </comment>
    <comment ref="BQ63" authorId="849" shapeId="0" xr:uid="{E4831A3E-496F-4349-A5E5-021698D4D2BF}">
      <text>
        <t xml:space="preserve">[Threaded comment]
Your version of Excel allows you to read this threaded comment; however, any edits to it will get removed if the file is opened in a newer version of Excel. Learn more: https://go.microsoft.com/fwlink/?linkid=870924
Comment:
    "Scores for each item are based on the inclusion of the related criteria and range from 0 to 4 points. The highest possible score on the instrument is 44" </t>
      </text>
    </comment>
    <comment ref="CB63" authorId="850" shapeId="0" xr:uid="{DAC62352-D10F-43DC-8696-A53E3D4C78AB}">
      <text>
        <t xml:space="preserve">[Threaded comment]
Your version of Excel allows you to read this threaded comment; however, any edits to it will get removed if the file is opened in a newer version of Excel. Learn more: https://go.microsoft.com/fwlink/?linkid=870924
Comment:
    "Effect sizes were attenuated by increased study quality" </t>
      </text>
    </comment>
    <comment ref="CC63" authorId="851" shapeId="0" xr:uid="{00A5BAC2-55D3-4E6B-B6A4-AB12E379561D}">
      <text>
        <t>[Threaded comment]
Your version of Excel allows you to read this threaded comment; however, any edits to it will get removed if the file is opened in a newer version of Excel. Learn more: https://go.microsoft.com/fwlink/?linkid=870924
Comment:
    "Effect size data from included first-order meta-analyses were extracted... From the 19 studies, 11 first-order meta-analyses offered sufficient information to extract 240 individual effect sizes"</t>
      </text>
    </comment>
    <comment ref="CS63" authorId="852" shapeId="0" xr:uid="{6513AE9E-6010-4CCE-BD8A-C5D43AD8D08E}">
      <text>
        <t xml:space="preserve">[Threaded comment]
Your version of Excel allows you to read this threaded comment; however, any edits to it will get removed if the file is opened in a newer version of Excel. Learn more: https://go.microsoft.com/fwlink/?linkid=870924
Comment:
    "The mixed effects model indicates that statistically significant variation exists between studies examining different technology functions" </t>
      </text>
    </comment>
    <comment ref="DA63" authorId="853" shapeId="0" xr:uid="{81384463-A8F3-4B89-8DA8-568DFE290046}">
      <text>
        <t xml:space="preserve">[Threaded comment]
Your version of Excel allows you to read this threaded comment; however, any edits to it will get removed if the file is opened in a newer version of Excel. Learn more: https://go.microsoft.com/fwlink/?linkid=870924
Comment:
    Figure A.1 </t>
      </text>
    </comment>
    <comment ref="DC63" authorId="854" shapeId="0" xr:uid="{1E96D997-E0AC-42F4-9230-46736E304DCC}">
      <text>
        <t xml:space="preserve">[Threaded comment]
Your version of Excel allows you to read this threaded comment; however, any edits to it will get removed if the file is opened in a newer version of Excel. Learn more: https://go.microsoft.com/fwlink/?linkid=870924
Comment:
    Figure A.2 </t>
      </text>
    </comment>
    <comment ref="DE63" authorId="855" shapeId="0" xr:uid="{180ECC70-E588-4BAD-B3B0-ADB21B1F0FD8}">
      <text>
        <t>[Threaded comment]
Your version of Excel allows you to read this threaded comment; however, any edits to it will get removed if the file is opened in a newer version of Excel. Learn more: https://go.microsoft.com/fwlink/?linkid=870924
Comment:
    Table A.2</t>
      </text>
    </comment>
    <comment ref="DG63" authorId="856" shapeId="0" xr:uid="{F1F2946E-CD8B-4B14-8CA9-4D107A26612F}">
      <text>
        <t>[Threaded comment]
Your version of Excel allows you to read this threaded comment; however, any edits to it will get removed if the file is opened in a newer version of Excel. Learn more: https://go.microsoft.com/fwlink/?linkid=870924
Comment:
    Table A.3</t>
      </text>
    </comment>
    <comment ref="DL63" authorId="857" shapeId="0" xr:uid="{767649A1-EE40-4B6C-8B33-E59840D62A6E}">
      <text>
        <t xml:space="preserve">[Threaded comment]
Your version of Excel allows you to read this threaded comment; however, any edits to it will get removed if the file is opened in a newer version of Excel. Learn more: https://go.microsoft.com/fwlink/?linkid=870924
Comment:
    The paper implies a degree of abstraction due to the second-order meta-analysis approach: "A second-order meta-analysis allows researchers to accurately estimate the true mean effect sizes in each first-order meta-analysis" </t>
      </text>
    </comment>
    <comment ref="K64" authorId="858" shapeId="0" xr:uid="{1347C15C-93FE-443D-BD25-B89BD18F725C}">
      <text>
        <t>[Threaded comment]
Your version of Excel allows you to read this threaded comment; however, any edits to it will get removed if the file is opened in a newer version of Excel. Learn more: https://go.microsoft.com/fwlink/?linkid=870924
Comment:
    29 sep. 2024 (18.30)</t>
      </text>
    </comment>
    <comment ref="AH65" authorId="859" shapeId="0" xr:uid="{EEDE24A4-45B8-4805-ABCC-71E0DB1D2F32}">
      <text>
        <t xml:space="preserve">[Threaded comment]
Your version of Excel allows you to read this threaded comment; however, any edits to it will get removed if the file is opened in a newer version of Excel. Learn more: https://go.microsoft.com/fwlink/?linkid=870924
Comment:
    "First-order meta-analyses relevant for inclusion in our second-order meta-analysis were initially identified through a search of various publication databases..." </t>
      </text>
    </comment>
    <comment ref="AN65" authorId="860" shapeId="0" xr:uid="{B6F5D54C-9597-4976-957D-641A29DC94AD}">
      <text>
        <t xml:space="preserve">[Threaded comment]
Your version of Excel allows you to read this threaded comment; however, any edits to it will get removed if the file is opened in a newer version of Excel. Learn more: https://go.microsoft.com/fwlink/?linkid=870924
Comment:
    "A published first-order meta-analysis was deemed eligible for inclusion if (1) it explored the effect of the inclusion of a label that provided information on the healthiness or unhealthiness of the food against a control or comparison group that was not exposed to any type of nutrition label, (2) it reported results for an intervention group (label) and a control or comparison group (no label), (3) the aim of the label intervention was to either discourage consumption of unhealthy foods (an effect capturing a prevention aim) or encourage consumption of healthy foods (an effect capturing a promotion aim), and (4) it reported on consumer behavior outcomes that included either what was chosen or selected... or whether the item was consumed" </t>
      </text>
    </comment>
    <comment ref="AO65" authorId="861" shapeId="0" xr:uid="{FE3B5365-CE14-4B24-BE79-08C4111ED917}">
      <text>
        <t xml:space="preserve">[Threaded comment]
Your version of Excel allows you to read this threaded comment; however, any edits to it will get removed if the file is opened in a newer version of Excel. Learn more: https://go.microsoft.com/fwlink/?linkid=870924
Comment:
    "We accounted for several empirical characteristics of the first-order meta-analysis effect sizes in the data, including study type (field, lab, or mixed-design studies)" </t>
      </text>
    </comment>
    <comment ref="BF65" authorId="862" shapeId="0" xr:uid="{F181BDB0-6920-44E2-90A5-8D20A1030149}">
      <text>
        <t xml:space="preserve">[Threaded comment]
Your version of Excel allows you to read this threaded comment; however, any edits to it will get removed if the file is opened in a newer version of Excel. Learn more: https://go.microsoft.com/fwlink/?linkid=870924
Comment:
    "Two expert raters independently coded the intervention characteristics for each effect size included in the second-order meta-analysis" </t>
      </text>
    </comment>
    <comment ref="BS65" authorId="863" shapeId="0" xr:uid="{EACE2468-460C-4AA7-9C71-C3DF365D6659}">
      <text>
        <t xml:space="preserve">[Threaded comment]
Your version of Excel allows you to read this threaded comment; however, any edits to it will get removed if the file is opened in a newer version of Excel. Learn more: https://go.microsoft.com/fwlink/?linkid=870924
Comment:
    "We obtained estimates through weighted least squares estimation. These specifications lead to the following second-order meta-analysis equation for the effect of nutrition labeling on consumer behavior" .
"For the effect-size measure of our second-order meta-analysis, we computed the standardized mean difference (Cohen’s d) for the effect of nutrition labels as reported in each of the published first-order meta-analyses" </t>
      </text>
    </comment>
    <comment ref="CB65" authorId="864" shapeId="0" xr:uid="{6ECA8035-6CC1-426D-9430-D387DD9D62FE}">
      <text>
        <t xml:space="preserve">[Threaded comment]
Your version of Excel allows you to read this threaded comment; however, any edits to it will get removed if the file is opened in a newer version of Excel. Learn more: https://go.microsoft.com/fwlink/?linkid=870924
Comment:
    "The inclusion of the standard error term enables direct estimation of the publication bias effect, while simultaneously estimating the remaining pure effect" </t>
      </text>
    </comment>
    <comment ref="CM65" authorId="865" shapeId="0" xr:uid="{4B40EBF4-168A-43D8-9ABE-3E11DFCBFBEA}">
      <text>
        <t>[Threaded comment]
Your version of Excel allows you to read this threaded comment; however, any edits to it will get removed if the file is opened in a newer version of Excel. Learn more: https://go.microsoft.com/fwlink/?linkid=870924
Comment:
    "The model revealed a very small significant main effect for nutrition label interventions... albeit with a significant amount of heterogeneity (I² = 79.89%)”</t>
      </text>
    </comment>
    <comment ref="CR65" authorId="866" shapeId="0" xr:uid="{02E0793D-FD49-440A-8E55-FB8A9D7D09D8}">
      <text>
        <t xml:space="preserve">[Threaded comment]
Your version of Excel allows you to read this threaded comment; however, any edits to it will get removed if the file is opened in a newer version of Excel. Learn more: https://go.microsoft.com/fwlink/?linkid=870924
Comment:
    "We next conducted a subgroup analysis to examine the conditions under which the effectiveness of nutrition labels may vary depending on the aim of the intervention" </t>
      </text>
    </comment>
    <comment ref="CS65" authorId="867" shapeId="0" xr:uid="{A6BC855B-0104-4A72-AA02-366FF53C5ED6}">
      <text>
        <t xml:space="preserve">[Threaded comment]
Your version of Excel allows you to read this threaded comment; however, any edits to it will get removed if the file is opened in a newer version of Excel. Learn more: https://go.microsoft.com/fwlink/?linkid=870924
Comment:
    "Across these two sets of data, prevention and promotion, we then conducted a moderator analysis according to our framework" </t>
      </text>
    </comment>
    <comment ref="DC65" authorId="868" shapeId="0" xr:uid="{9CF00F0F-43FE-4991-A6C1-4195A9647F93}">
      <text>
        <t>[Threaded comment]
Your version of Excel allows you to read this threaded comment; however, any edits to it will get removed if the file is opened in a newer version of Excel. Learn more: https://go.microsoft.com/fwlink/?linkid=870924
Comment:
    Appendix C figure w2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tc={3B12C542-704F-414D-AB1A-3EF21507D19A}</author>
    <author>tc={CCE91DAA-4634-8249-854D-8C09093CE8AD}</author>
    <author>tc={04B74D4F-996A-A043-A423-19101308B5C2}</author>
    <author>tc={3420BB29-40AA-0F47-B373-8D937BE5A6CB}</author>
    <author>tc={F55F62FF-8A55-BD49-843D-0070D8955D71}</author>
    <author>tc={F21ED454-9FF7-6943-935F-08C538519C22}</author>
    <author>tc={E85734B6-4D52-6842-99E7-EDE5A934ED7F}</author>
    <author>tc={27D04D98-9229-E44E-A7B2-C0C3099452D1}</author>
    <author>tc={BDAB3F44-9F21-9348-BCB6-8E1149422987}</author>
    <author>tc={FBE06079-B30E-F34C-9E87-CE84F00CDDCD}</author>
    <author>tc={160BBE46-DBAB-AB44-B518-9D85AE512421}</author>
    <author>tc={B83EDC99-478B-5B4A-BDA4-750A5173924D}</author>
    <author>tc={EA40A865-E445-9042-8B8A-83C3D6D10DA8}</author>
    <author>tc={0710E38A-6A85-8A46-80A7-2ED04DBA7019}</author>
    <author>tc={0A93B769-F467-C546-AADB-3DCE32D44A6E}</author>
    <author>tc={D26EF923-F967-EA4A-BCBE-F665AC5E4E4C}</author>
    <author>tc={74485909-0CD3-5742-B143-2AF0BBC1D799}</author>
    <author>tc={4932B161-6EF7-E545-86D7-11152DBCE72F}</author>
    <author>tc={9D10EDBD-922F-B64C-8B78-0B8093A3E17C}</author>
    <author>tc={C82F80B0-47AC-E64C-A92A-764D2ACC1D4E}</author>
    <author>tc={F5E8193B-0FCF-CB44-A598-96B92DD43313}</author>
    <author>tc={8BD3E77D-990D-7046-B6C3-B6EA237B1608}</author>
    <author>tc={034649F5-FB24-D749-9B5C-842EEA0D285F}</author>
    <author>tc={219C88BA-D1B3-3A47-A6B4-4E2832F6C5FE}</author>
    <author>tc={4EC06578-530D-4C48-AF91-A80D284EA386}</author>
    <author>tc={C62EF21A-E7B2-CA4F-B347-4426A1824B18}</author>
    <author>tc={5F8117D7-45BB-7D41-9072-60B126C0898C}</author>
    <author>tc={90AB86B6-6EF9-1B4E-A118-82EA21CE4A81}</author>
    <author>tc={233A5E2B-C50B-0A4E-A1C9-DD715AC4C91E}</author>
    <author>tc={70C2BCFC-D637-3F47-A963-0EC0753D9F8D}</author>
    <author>tc={A21BD9A0-BD68-0547-A292-034D2BABCA4A}</author>
    <author>tc={60364CFF-6FD6-FE4F-91A4-1EA4D8ACA94B}</author>
    <author>tc={74D311D5-7399-A040-BE0D-D49FE8CA09AD}</author>
    <author>tc={E54A9EEF-C09B-4B4B-A309-A53823F80453}</author>
    <author>tc={2285642B-94DB-BC4A-883D-95D123F82246}</author>
    <author>tc={4C9E7C5D-44CA-F346-A2C7-6A8C237368A8}</author>
  </authors>
  <commentList>
    <comment ref="D4" authorId="0" shapeId="0" xr:uid="{3B12C542-704F-414D-AB1A-3EF21507D19A}">
      <text>
        <t>[Threaded comment]
Your version of Excel allows you to read this threaded comment; however, any edits to it will get removed if the file is opened in a newer version of Excel. Learn more: https://go.microsoft.com/fwlink/?linkid=870924
Comment:
    2023?</t>
      </text>
    </comment>
    <comment ref="I4" authorId="1" shapeId="0" xr:uid="{CCE91DAA-4634-8249-854D-8C09093CE8AD}">
      <text>
        <t>[Threaded comment]
Your version of Excel allows you to read this threaded comment; however, any edits to it will get removed if the file is opened in a newer version of Excel. Learn more: https://go.microsoft.com/fwlink/?linkid=870924
Comment:
    Osf has a R script</t>
      </text>
    </comment>
    <comment ref="J4" authorId="2" shapeId="0" xr:uid="{04B74D4F-996A-A043-A423-19101308B5C2}">
      <text>
        <t>[Threaded comment]
Your version of Excel allows you to read this threaded comment; however, any edits to it will get removed if the file is opened in a newer version of Excel. Learn more: https://go.microsoft.com/fwlink/?linkid=870924
Comment:
    Osf .xlsx file</t>
      </text>
    </comment>
    <comment ref="D11" authorId="3" shapeId="0" xr:uid="{3420BB29-40AA-0F47-B373-8D937BE5A6CB}">
      <text>
        <t>[Threaded comment]
Your version of Excel allows you to read this threaded comment; however, any edits to it will get removed if the file is opened in a newer version of Excel. Learn more: https://go.microsoft.com/fwlink/?linkid=870924
Comment:
    2024</t>
      </text>
    </comment>
    <comment ref="E11" authorId="4" shapeId="0" xr:uid="{F55F62FF-8A55-BD49-843D-0070D8955D71}">
      <text>
        <t xml:space="preserve">[Threaded comment]
Your version of Excel allows you to read this threaded comment; however, any edits to it will get removed if the file is opened in a newer version of Excel. Learn more: https://go.microsoft.com/fwlink/?linkid=870924
Comment:
    "We preregistered the literature search parameters, stopping rules for data collection, variables, hypotheses, and planned analyses in the Open Science Framework." </t>
      </text>
    </comment>
    <comment ref="G11" authorId="5" shapeId="0" xr:uid="{F21ED454-9FF7-6943-935F-08C538519C22}">
      <text>
        <t xml:space="preserve">[Threaded comment]
Your version of Excel allows you to read this threaded comment; however, any edits to it will get removed if the file is opened in a newer version of Excel. Learn more: https://go.microsoft.com/fwlink/?linkid=870924
Comment:
    "Original data, analytic code, measurement instruments, and other materials can be directly stored on open-access platforms, such as the Open Science Framework." </t>
      </text>
    </comment>
    <comment ref="H11" authorId="6" shapeId="0" xr:uid="{E85734B6-4D52-6842-99E7-EDE5A934ED7F}">
      <text>
        <t>[Threaded comment]
Your version of Excel allows you to read this threaded comment; however, any edits to it will get removed if the file is opened in a newer version of Excel. Learn more: https://go.microsoft.com/fwlink/?linkid=870924
Comment:
    “The Supplemental Material contains the data (S1), the codebook (S2), and the analytical code (S3), the detailed documentation of the literature database search (S5), the back-and-forth search (S6), the gray literature search (S7), the call for meta-analyses (S8), and the updated screening forms (S9).“</t>
      </text>
    </comment>
    <comment ref="I11" authorId="7" shapeId="0" xr:uid="{27D04D98-9229-E44E-A7B2-C0C3099452D1}">
      <text>
        <t xml:space="preserve">[Threaded comment]
Your version of Excel allows you to read this threaded comment; however, any edits to it will get removed if the file is opened in a newer version of Excel. Learn more: https://go.microsoft.com/fwlink/?linkid=870924
Comment:
    "The data set and the analytic code are stored in the Supplemental Materials S1 and S3." </t>
      </text>
    </comment>
    <comment ref="J11" authorId="8" shapeId="0" xr:uid="{BDAB3F44-9F21-9348-BCB6-8E1149422987}">
      <text>
        <t xml:space="preserve">[Threaded comment]
Your version of Excel allows you to read this threaded comment; however, any edits to it will get removed if the file is opened in a newer version of Excel. Learn more: https://go.microsoft.com/fwlink/?linkid=870924
Comment:
    "The data set and the analytic code are stored in the Supplemental Materials S1 and S3." </t>
      </text>
    </comment>
    <comment ref="I12" authorId="9" shapeId="0" xr:uid="{FBE06079-B30E-F34C-9E87-CE84F00CDDCD}">
      <text>
        <t xml:space="preserve">[Threaded comment]
Your version of Excel allows you to read this threaded comment; however, any edits to it will get removed if the file is opened in a newer version of Excel. Learn more: https://go.microsoft.com/fwlink/?linkid=870924
Comment:
    “All data and the code for the second-order meta-analysis are publicly available in the Open Science Framework (OSF)." </t>
      </text>
    </comment>
    <comment ref="G14" authorId="10" shapeId="0" xr:uid="{160BBE46-DBAB-AB44-B518-9D85AE512421}">
      <text>
        <t>[Threaded comment]
Your version of Excel allows you to read this threaded comment; however, any edits to it will get removed if the file is opened in a newer version of Excel. Learn more: https://go.microsoft.com/fwlink/?linkid=870924
Comment:
    “https://oasis.col.org/items/81887d9e-7092-4deb-8cb9-19dfe2568f23“</t>
      </text>
    </comment>
    <comment ref="E16" authorId="11" shapeId="0" xr:uid="{B83EDC99-478B-5B4A-BDA4-750A5173924D}">
      <text>
        <t>[Threaded comment]
Your version of Excel allows you to read this threaded comment; however, any edits to it will get removed if the file is opened in a newer version of Excel. Learn more: https://go.microsoft.com/fwlink/?linkid=870924
Comment:
    "This umbrella review followed the Preferred Reporting Items for Systematic Reviews and Meta-analyses (PRISMA 2020) reporting guideline... and an a priori protocol, available on request." However, it was not formally preregistered in a repository like PROSPERO“</t>
      </text>
    </comment>
    <comment ref="J20" authorId="12" shapeId="0" xr:uid="{EA40A865-E445-9042-8B8A-83C3D6D10DA8}">
      <text>
        <t>[Threaded comment]
Your version of Excel allows you to read this threaded comment; however, any edits to it will get removed if the file is opened in a newer version of Excel. Learn more: https://go.microsoft.com/fwlink/?linkid=870924
Comment:
    Supplementary data</t>
      </text>
    </comment>
    <comment ref="E22" authorId="13" shapeId="0" xr:uid="{0710E38A-6A85-8A46-80A7-2ED04DBA7019}">
      <text>
        <t>[Threaded comment]
Your version of Excel allows you to read this threaded comment; however, any edits to it will get removed if the file is opened in a newer version of Excel. Learn more: https://go.microsoft.com/fwlink/?linkid=870924
Comment:
    "Our meta-review was prospectively registered on the Open Science Framework (https://osf.io/465ej/)”</t>
      </text>
    </comment>
    <comment ref="I22" authorId="14" shapeId="0" xr:uid="{0A93B769-F467-C546-AADB-3DCE32D44A6E}">
      <text>
        <t xml:space="preserve">[Threaded comment]
Your version of Excel allows you to read this threaded comment; however, any edits to it will get removed if the file is opened in a newer version of Excel. Learn more: https://go.microsoft.com/fwlink/?linkid=870924
Comment:
    "Raw data and code for reproducing the analyses are available at https://osf.io/465ej/." </t>
      </text>
    </comment>
    <comment ref="J28" authorId="15" shapeId="0" xr:uid="{D26EF923-F967-EA4A-BCBE-F665AC5E4E4C}">
      <text>
        <t>[Threaded comment]
Your version of Excel allows you to read this threaded comment; however, any edits to it will get removed if the file is opened in a newer version of Excel. Learn more: https://go.microsoft.com/fwlink/?linkid=870924
Comment:
    Supplementary: "The data that support the findings of this study are openly available at …”</t>
      </text>
    </comment>
    <comment ref="I30" authorId="16" shapeId="0" xr:uid="{74485909-0CD3-5742-B143-2AF0BBC1D799}">
      <text>
        <t>[Threaded comment]
Your version of Excel allows you to read this threaded comment; however, any edits to it will get removed if the file is opened in a newer version of Excel. Learn more: https://go.microsoft.com/fwlink/?linkid=870924
Comment:
    Online supplemental material “analysis.code.april23.R”</t>
      </text>
    </comment>
    <comment ref="J30" authorId="17" shapeId="0" xr:uid="{4932B161-6EF7-E545-86D7-11152DBCE72F}">
      <text>
        <t xml:space="preserve">[Threaded comment]
Your version of Excel allows you to read this threaded comment; however, any edits to it will get removed if the file is opened in a newer version of Excel. Learn more: https://go.microsoft.com/fwlink/?linkid=870924
Comment:
     table “es_final-april23.csv” in their OSM is their dataset.
</t>
      </text>
    </comment>
    <comment ref="E31" authorId="18" shapeId="0" xr:uid="{9D10EDBD-922F-B64C-8B78-0B8093A3E17C}">
      <text>
        <t xml:space="preserve">[Threaded comment]
Your version of Excel allows you to read this threaded comment; however, any edits to it will get removed if the file is opened in a newer version of Excel. Learn more: https://go.microsoft.com/fwlink/?linkid=870924
Comment:
    Since: 
"We conducted this study in accordance with a study protocol we uploaded to the Open Science Framework in April 2018 (osf.io/x9g6m)."
</t>
      </text>
    </comment>
    <comment ref="I33" authorId="19" shapeId="0" xr:uid="{C82F80B0-47AC-E64C-A92A-764D2ACC1D4E}">
      <text>
        <t>[Threaded comment]
Your version of Excel allows you to read this threaded comment; however, any edits to it will get removed if the file is opened in a newer version of Excel. Learn more: https://go.microsoft.com/fwlink/?linkid=870924
Comment:
    "All the data, analysis scripts, and an online Appendix with supplemental analyses and results can be found on this paper’s project page on the Open Science Framework at https://osf.io/z8emy/"&amp;#8203;:contentReference[oaicite:8]{index=8}.”</t>
      </text>
    </comment>
    <comment ref="H34" authorId="20" shapeId="0" xr:uid="{F5E8193B-0FCF-CB44-A598-96B92DD43313}">
      <text>
        <t>[Threaded comment]
Your version of Excel allows you to read this threaded comment; however, any edits to it will get removed if the file is opened in a newer version of Excel. Learn more: https://go.microsoft.com/fwlink/?linkid=870924
Comment:
    Supplementary 2</t>
      </text>
    </comment>
    <comment ref="I34" authorId="21" shapeId="0" xr:uid="{8BD3E77D-990D-7046-B6C3-B6EA237B1608}">
      <text>
        <t>[Threaded comment]
Your version of Excel allows you to read this threaded comment; however, any edits to it will get removed if the file is opened in a newer version of Excel. Learn more: https://go.microsoft.com/fwlink/?linkid=870924
Comment:
    Supplementary 5</t>
      </text>
    </comment>
    <comment ref="J34" authorId="22" shapeId="0" xr:uid="{034649F5-FB24-D749-9B5C-842EEA0D285F}">
      <text>
        <t>[Threaded comment]
Your version of Excel allows you to read this threaded comment; however, any edits to it will get removed if the file is opened in a newer version of Excel. Learn more: https://go.microsoft.com/fwlink/?linkid=870924
Comment:
    Supplementary 4</t>
      </text>
    </comment>
    <comment ref="J36" authorId="23" shapeId="0" xr:uid="{219C88BA-D1B3-3A47-A6B4-4E2832F6C5FE}">
      <text>
        <t xml:space="preserve">[Threaded comment]
Your version of Excel allows you to read this threaded comment; however, any edits to it will get removed if the file is opened in a newer version of Excel. Learn more: https://go.microsoft.com/fwlink/?linkid=870924
Comment:
    "The raw data supporting the conclusions of this manuscript will be made available by the authors, without undue reservation, to any qualified researcher"​ </t>
      </text>
    </comment>
    <comment ref="H38" authorId="24" shapeId="0" xr:uid="{4EC06578-530D-4C48-AF91-A80D284EA386}">
      <text>
        <t>[Threaded comment]
Your version of Excel allows you to read this threaded comment; however, any edits to it will get removed if the file is opened in a newer version of Excel. Learn more: https://go.microsoft.com/fwlink/?linkid=870924
Comment:
    Supplementary Datasheet 3 and 4</t>
      </text>
    </comment>
    <comment ref="I38" authorId="25" shapeId="0" xr:uid="{C62EF21A-E7B2-CA4F-B347-4426A1824B18}">
      <text>
        <t>[Threaded comment]
Your version of Excel allows you to read this threaded comment; however, any edits to it will get removed if the file is opened in a newer version of Excel. Learn more: https://go.microsoft.com/fwlink/?linkid=870924
Comment:
    Supplementary data sheet S4</t>
      </text>
    </comment>
    <comment ref="J38" authorId="26" shapeId="0" xr:uid="{5F8117D7-45BB-7D41-9072-60B126C0898C}">
      <text>
        <t>[Threaded comment]
Your version of Excel allows you to read this threaded comment; however, any edits to it will get removed if the file is opened in a newer version of Excel. Learn more: https://go.microsoft.com/fwlink/?linkid=870924
Comment:
    Supplementary Data sheet 2 and 3</t>
      </text>
    </comment>
    <comment ref="E40" authorId="27" shapeId="0" xr:uid="{90AB86B6-6EF9-1B4E-A118-82EA21CE4A81}">
      <text>
        <t xml:space="preserve">[Threaded comment]
Your version of Excel allows you to read this threaded comment; however, any edits to it will get removed if the file is opened in a newer version of Excel. Learn more: https://go.microsoft.com/fwlink/?linkid=870924
Comment:
    "The meta–meta-analysis is registered in PROSPERO, Registration number CRD42016036486." </t>
      </text>
    </comment>
    <comment ref="E43" authorId="28" shapeId="0" xr:uid="{233A5E2B-C50B-0A4E-A1C9-DD715AC4C91E}">
      <text>
        <t xml:space="preserve">[Threaded comment]
Your version of Excel allows you to read this threaded comment; however, any edits to it will get removed if the file is opened in a newer version of Excel. Learn more: https://go.microsoft.com/fwlink/?linkid=870924
Comment:
    "We preregistered this study on Open Science Framework on December 18, 2017, before conducting data analyses, to facilitate replication and transparency about our methods."​ </t>
      </text>
    </comment>
    <comment ref="H43" authorId="29" shapeId="0" xr:uid="{70C2BCFC-D637-3F47-A963-0EC0753D9F8D}">
      <text>
        <t>[Threaded comment]
Your version of Excel allows you to read this threaded comment; however, any edits to it will get removed if the file is opened in a newer version of Excel. Learn more: https://go.microsoft.com/fwlink/?linkid=870924
Comment:
    All materials are available at https:// osf.io/ujcre/ 
e.g Cultural similarities meta-synthesis proposal.pdf.</t>
      </text>
    </comment>
    <comment ref="J43" authorId="30" shapeId="0" xr:uid="{A21BD9A0-BD68-0547-A292-034D2BABCA4A}">
      <text>
        <t xml:space="preserve">[Threaded comment]
Your version of Excel allows you to read this threaded comment; however, any edits to it will get removed if the file is opened in a newer version of Excel. Learn more: https://go.microsoft.com/fwlink/?linkid=870924
Comment:
    Cultural Similarities - Data and analyses.xlsx </t>
      </text>
    </comment>
    <comment ref="E45" authorId="31" shapeId="0" xr:uid="{60364CFF-6FD6-FE4F-91A4-1EA4D8ACA94B}">
      <text>
        <t>[Threaded comment]
Your version of Excel allows you to read this threaded comment; however, any edits to it will get removed if the file is opened in a newer version of Excel. Learn more: https://go.microsoft.com/fwlink/?linkid=870924
Comment:
    "We preregistered this study“</t>
      </text>
    </comment>
    <comment ref="H45" authorId="32" shapeId="0" xr:uid="{74D311D5-7399-A040-BE0D-D49FE8CA09AD}">
      <text>
        <t xml:space="preserve">[Threaded comment]
Your version of Excel allows you to read this threaded comment; however, any edits to it will get removed if the file is opened in a newer version of Excel. Learn more: https://go.microsoft.com/fwlink/?linkid=870924
Comment:
    "We created a coding manual to guide coding and facilitate replication (https://osf.io/ge2u3/)." </t>
      </text>
    </comment>
    <comment ref="I45" authorId="33" shapeId="0" xr:uid="{E54A9EEF-C09B-4B4B-A309-A53823F80453}">
      <text>
        <t xml:space="preserve">[Threaded comment]
Your version of Excel allows you to read this threaded comment; however, any edits to it will get removed if the file is opened in a newer version of Excel. Learn more: https://go.microsoft.com/fwlink/?linkid=870924
Comment:
    "For data and syntax, see https://osf.io/49xyk/." </t>
      </text>
    </comment>
    <comment ref="D47" authorId="34" shapeId="0" xr:uid="{2285642B-94DB-BC4A-883D-95D123F82246}">
      <text>
        <t>[Threaded comment]
Your version of Excel allows you to read this threaded comment; however, any edits to it will get removed if the file is opened in a newer version of Excel. Learn more: https://go.microsoft.com/fwlink/?linkid=870924
Comment:
    2017?</t>
      </text>
    </comment>
    <comment ref="J62" authorId="35" shapeId="0" xr:uid="{4C9E7C5D-44CA-F346-A2C7-6A8C237368A8}">
      <text>
        <t>[Threaded comment]
Your version of Excel allows you to read this threaded comment; however, any edits to it will get removed if the file is opened in a newer version of Excel. Learn more: https://go.microsoft.com/fwlink/?linkid=870924
Comment:
    Table 1</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tc={890D8713-B517-094C-A0CE-E445D283D970}</author>
    <author>tc={6B0BB4DE-F73E-314B-AAD4-9837F9087166}</author>
    <author>tc={C460A571-CCA5-D841-908E-82F4F811D981}</author>
  </authors>
  <commentList>
    <comment ref="D18" authorId="0" shapeId="0" xr:uid="{890D8713-B517-094C-A0CE-E445D283D970}">
      <text>
        <t>[Threaded comment]
Your version of Excel allows you to read this threaded comment; however, any edits to it will get removed if the file is opened in a newer version of Excel. Learn more: https://go.microsoft.com/fwlink/?linkid=870924
Comment:
    2024</t>
      </text>
    </comment>
    <comment ref="D43" authorId="1" shapeId="0" xr:uid="{6B0BB4DE-F73E-314B-AAD4-9837F9087166}">
      <text>
        <t>[Threaded comment]
Your version of Excel allows you to read this threaded comment; however, any edits to it will get removed if the file is opened in a newer version of Excel. Learn more: https://go.microsoft.com/fwlink/?linkid=870924
Comment:
    2017?</t>
      </text>
    </comment>
    <comment ref="D53" authorId="2" shapeId="0" xr:uid="{C460A571-CCA5-D841-908E-82F4F811D981}">
      <text>
        <t>[Threaded comment]
Your version of Excel allows you to read this threaded comment; however, any edits to it will get removed if the file is opened in a newer version of Excel. Learn more: https://go.microsoft.com/fwlink/?linkid=870924
Comment:
    2023?</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<sst xmlns="http://schemas.openxmlformats.org/spreadsheetml/2006/main" count="8220" uniqueCount="1685">
  <si>
    <t>Author(s) and year</t>
  </si>
  <si>
    <t>Reference ID</t>
  </si>
  <si>
    <t>Reference</t>
  </si>
  <si>
    <t>Publication year</t>
  </si>
  <si>
    <t>Publication lag</t>
  </si>
  <si>
    <t>Publication status</t>
  </si>
  <si>
    <t>Journal</t>
  </si>
  <si>
    <t>Citation</t>
  </si>
  <si>
    <t>Affiliation</t>
  </si>
  <si>
    <t>Reasoning for SOMA</t>
  </si>
  <si>
    <t>Country</t>
  </si>
  <si>
    <t>Publication year range [upper bound]</t>
  </si>
  <si>
    <t>Publication year range [lower bound]</t>
  </si>
  <si>
    <t>Publication year range</t>
  </si>
  <si>
    <t>Number of included meta-analyses</t>
  </si>
  <si>
    <t>Number of included primary studies</t>
  </si>
  <si>
    <t>Number of participants</t>
  </si>
  <si>
    <t>Short description of sample</t>
  </si>
  <si>
    <t>Other languages</t>
  </si>
  <si>
    <t>Gray literature</t>
  </si>
  <si>
    <t>Search for meta-analyses</t>
  </si>
  <si>
    <t>Double screening</t>
  </si>
  <si>
    <t>Inter-rater reliability reporting</t>
  </si>
  <si>
    <t>Inter-rater reliability value</t>
  </si>
  <si>
    <t>Double screening percent</t>
  </si>
  <si>
    <t>SOMA screening criteria</t>
  </si>
  <si>
    <t>Primary study designs</t>
  </si>
  <si>
    <t>Effect size type</t>
  </si>
  <si>
    <t>Screening software</t>
  </si>
  <si>
    <t>Double coding</t>
  </si>
  <si>
    <t>Double coding percent</t>
  </si>
  <si>
    <t>Overlap quantified</t>
  </si>
  <si>
    <t>Overlap addressed</t>
  </si>
  <si>
    <t>Overlap exclusion rule</t>
  </si>
  <si>
    <t>Methodological quality code</t>
  </si>
  <si>
    <t>Assessment tool type</t>
  </si>
  <si>
    <t>Quality representation</t>
  </si>
  <si>
    <t>Incorporation of quality information</t>
  </si>
  <si>
    <t>Effect size aggregation</t>
  </si>
  <si>
    <t>Statistical modeling approach</t>
  </si>
  <si>
    <t>Effect size attenuation</t>
  </si>
  <si>
    <t>Effect size multiplicity</t>
  </si>
  <si>
    <t>Multiplicity handling</t>
  </si>
  <si>
    <t>Publication bias addressed</t>
  </si>
  <si>
    <t>Publication bias method</t>
  </si>
  <si>
    <t>Heterogeneity quantified</t>
  </si>
  <si>
    <t>Heterogeneity method</t>
  </si>
  <si>
    <t>Moderator analyses conducted</t>
  </si>
  <si>
    <t>Moderator analysis method</t>
  </si>
  <si>
    <t>Sensitivity analysis</t>
  </si>
  <si>
    <t>Mediator analysis</t>
  </si>
  <si>
    <t>Power analysis</t>
  </si>
  <si>
    <t>Analysis software used</t>
  </si>
  <si>
    <t>PRISMA flow chart</t>
  </si>
  <si>
    <t>Funnel plot</t>
  </si>
  <si>
    <t>Forest plot</t>
  </si>
  <si>
    <t>Other figures</t>
  </si>
  <si>
    <t>Overview of Included studies</t>
  </si>
  <si>
    <t>SOMA results table</t>
  </si>
  <si>
    <t>Moderators table</t>
  </si>
  <si>
    <t>Methodological quality table</t>
  </si>
  <si>
    <t>Helpful figures</t>
  </si>
  <si>
    <t>Publication bias</t>
  </si>
  <si>
    <t>Open science</t>
  </si>
  <si>
    <t>High degree of abstraction</t>
  </si>
  <si>
    <t>Lack of diversity</t>
  </si>
  <si>
    <t>Future methodological research</t>
  </si>
  <si>
    <t>Common limitations</t>
  </si>
  <si>
    <t>Preregistration</t>
  </si>
  <si>
    <t>Preprint</t>
  </si>
  <si>
    <t>Open access</t>
  </si>
  <si>
    <t>Open materials</t>
  </si>
  <si>
    <t>Open code</t>
  </si>
  <si>
    <t>Open data</t>
  </si>
  <si>
    <t>Helpful aspects</t>
  </si>
  <si>
    <t>Comments on coding procedure</t>
  </si>
  <si>
    <t>General comments</t>
  </si>
  <si>
    <t>author_year</t>
  </si>
  <si>
    <t>ref_id</t>
  </si>
  <si>
    <t>reference</t>
  </si>
  <si>
    <t>pub_year</t>
  </si>
  <si>
    <t>pub_lag</t>
  </si>
  <si>
    <t>pub_stat</t>
  </si>
  <si>
    <t>journal</t>
  </si>
  <si>
    <t>citation</t>
  </si>
  <si>
    <t>affiliation</t>
  </si>
  <si>
    <t>reasoning</t>
  </si>
  <si>
    <t>country</t>
  </si>
  <si>
    <t>range_lb</t>
  </si>
  <si>
    <t>pub_year_range</t>
  </si>
  <si>
    <t>q</t>
  </si>
  <si>
    <t>k</t>
  </si>
  <si>
    <t>n</t>
  </si>
  <si>
    <t>sample</t>
  </si>
  <si>
    <t>other_lang</t>
  </si>
  <si>
    <t>gray_lit</t>
  </si>
  <si>
    <t>search_ma</t>
  </si>
  <si>
    <t>search_chunk</t>
  </si>
  <si>
    <t>screen_double</t>
  </si>
  <si>
    <t>screen_rel_rep</t>
  </si>
  <si>
    <t>screen_rel_val</t>
  </si>
  <si>
    <t>screen_double_freq</t>
  </si>
  <si>
    <t>screen_soma</t>
  </si>
  <si>
    <t>study_design</t>
  </si>
  <si>
    <t>es_type</t>
  </si>
  <si>
    <t>screen_software</t>
  </si>
  <si>
    <t>coding_double</t>
  </si>
  <si>
    <t>coding_rel_rep</t>
  </si>
  <si>
    <t>coding_rel_val</t>
  </si>
  <si>
    <t>coding_double_freq</t>
  </si>
  <si>
    <t>overlap_yn</t>
  </si>
  <si>
    <t>overlap_add</t>
  </si>
  <si>
    <t>overlap_rule</t>
  </si>
  <si>
    <t>quality_code</t>
  </si>
  <si>
    <t>assessment_tool</t>
  </si>
  <si>
    <t>quality_rep</t>
  </si>
  <si>
    <t>quality_incorp</t>
  </si>
  <si>
    <t>effect_size_agg</t>
  </si>
  <si>
    <t>stat_model</t>
  </si>
  <si>
    <t>effect_size_att</t>
  </si>
  <si>
    <t>effect_size_mult</t>
  </si>
  <si>
    <t>multiplicity_handling</t>
  </si>
  <si>
    <t>pub_bias_addr</t>
  </si>
  <si>
    <t>pub_bias_method</t>
  </si>
  <si>
    <t>het_quant</t>
  </si>
  <si>
    <t>het_method</t>
  </si>
  <si>
    <t>moderator_analyses</t>
  </si>
  <si>
    <t>moderator_method</t>
  </si>
  <si>
    <t>sens_analysis</t>
  </si>
  <si>
    <t>med_analysis</t>
  </si>
  <si>
    <t>power_analysis</t>
  </si>
  <si>
    <t>analysis_software</t>
  </si>
  <si>
    <t>prisma_chart</t>
  </si>
  <si>
    <t>funnel_plot</t>
  </si>
  <si>
    <t>forest_plot</t>
  </si>
  <si>
    <t>other_figures</t>
  </si>
  <si>
    <t>overview_studies</t>
  </si>
  <si>
    <t>soma_results</t>
  </si>
  <si>
    <t>mod_table</t>
  </si>
  <si>
    <t>quality_table</t>
  </si>
  <si>
    <t>helpful_figures</t>
  </si>
  <si>
    <t>open_science</t>
  </si>
  <si>
    <t>high_abs</t>
  </si>
  <si>
    <t>diversity</t>
  </si>
  <si>
    <t>future_research</t>
  </si>
  <si>
    <t>common_limits</t>
  </si>
  <si>
    <t>prereg</t>
  </si>
  <si>
    <t>preprint</t>
  </si>
  <si>
    <t>open_acc</t>
  </si>
  <si>
    <t>open_mat</t>
  </si>
  <si>
    <t>open_code</t>
  </si>
  <si>
    <t>open_data</t>
  </si>
  <si>
    <t>helpful</t>
  </si>
  <si>
    <t>comments_coding</t>
  </si>
  <si>
    <t>comments_general</t>
  </si>
  <si>
    <t>Publication</t>
  </si>
  <si>
    <t>Sample</t>
  </si>
  <si>
    <t>Search</t>
  </si>
  <si>
    <t>Screening</t>
  </si>
  <si>
    <t>Coding</t>
  </si>
  <si>
    <t>Overlap in primary studies</t>
  </si>
  <si>
    <t>Quality of meta-analyses</t>
  </si>
  <si>
    <t>Analysis</t>
  </si>
  <si>
    <t>Reporting</t>
  </si>
  <si>
    <t>Discussion</t>
  </si>
  <si>
    <t>Open Science</t>
  </si>
  <si>
    <t>Comments</t>
  </si>
  <si>
    <t>#1</t>
  </si>
  <si>
    <t>#6</t>
  </si>
  <si>
    <t>#8</t>
  </si>
  <si>
    <t>#9</t>
  </si>
  <si>
    <t>#11</t>
  </si>
  <si>
    <t>#14</t>
  </si>
  <si>
    <t>#16</t>
  </si>
  <si>
    <t>#23</t>
  </si>
  <si>
    <t>#27</t>
  </si>
  <si>
    <t>#42</t>
  </si>
  <si>
    <t>#58</t>
  </si>
  <si>
    <t>#66</t>
  </si>
  <si>
    <t>#67</t>
  </si>
  <si>
    <t>#80</t>
  </si>
  <si>
    <t>#89</t>
  </si>
  <si>
    <t>#102</t>
  </si>
  <si>
    <t>#109</t>
  </si>
  <si>
    <t>#112</t>
  </si>
  <si>
    <t>#113</t>
  </si>
  <si>
    <t>#119</t>
  </si>
  <si>
    <t>#124</t>
  </si>
  <si>
    <t>#125</t>
  </si>
  <si>
    <t>#127</t>
  </si>
  <si>
    <t>#152</t>
  </si>
  <si>
    <t>#156</t>
  </si>
  <si>
    <t>#162</t>
  </si>
  <si>
    <t>#169</t>
  </si>
  <si>
    <t>#171</t>
  </si>
  <si>
    <t>#181</t>
  </si>
  <si>
    <t>#184</t>
  </si>
  <si>
    <t>#186</t>
  </si>
  <si>
    <t>#188</t>
  </si>
  <si>
    <t>#190</t>
  </si>
  <si>
    <t>#191</t>
  </si>
  <si>
    <t>#201</t>
  </si>
  <si>
    <t>#211</t>
  </si>
  <si>
    <t>#212</t>
  </si>
  <si>
    <t>#215</t>
  </si>
  <si>
    <t>#220</t>
  </si>
  <si>
    <t>#221</t>
  </si>
  <si>
    <t>#223</t>
  </si>
  <si>
    <t>#224</t>
  </si>
  <si>
    <t>#252</t>
  </si>
  <si>
    <t>#261</t>
  </si>
  <si>
    <t>#263</t>
  </si>
  <si>
    <t>#271</t>
  </si>
  <si>
    <t>#273</t>
  </si>
  <si>
    <t>#276</t>
  </si>
  <si>
    <t>#282</t>
  </si>
  <si>
    <t>#283</t>
  </si>
  <si>
    <t>#286</t>
  </si>
  <si>
    <t>#293</t>
  </si>
  <si>
    <t>#35</t>
  </si>
  <si>
    <t>#68</t>
  </si>
  <si>
    <t>#105</t>
  </si>
  <si>
    <t>#129</t>
  </si>
  <si>
    <t>#135</t>
  </si>
  <si>
    <t>#136</t>
  </si>
  <si>
    <t>#139</t>
  </si>
  <si>
    <t>Educational Policy Analysis and Strategic Research</t>
  </si>
  <si>
    <t>Psychological Methods</t>
  </si>
  <si>
    <t>International Journal of Police Science &amp; Management</t>
  </si>
  <si>
    <t>Journal of Dental Research</t>
  </si>
  <si>
    <t>International Journal of Consumer Studies</t>
  </si>
  <si>
    <t>Journal of Educational Computing Research</t>
  </si>
  <si>
    <t>Social Psychological and Personality Science</t>
  </si>
  <si>
    <t>Journal of Public Policy &amp; Marketing</t>
  </si>
  <si>
    <t>Child &amp; Adolescent Social Work Journal</t>
  </si>
  <si>
    <t>Health Psychology Review</t>
  </si>
  <si>
    <t>Review of Educational Research</t>
  </si>
  <si>
    <t>Development and Psychopathology</t>
  </si>
  <si>
    <t>European Child &amp; Adolescent Psychiatry</t>
  </si>
  <si>
    <t>Educational Research Review</t>
  </si>
  <si>
    <t>Commonwealth of Learning</t>
  </si>
  <si>
    <t>Educational Management Administration &amp; Leadership</t>
  </si>
  <si>
    <t>Clinical Psychology Review</t>
  </si>
  <si>
    <t>Applied Psychology: An International Review</t>
  </si>
  <si>
    <t>Frontiers in Psychology</t>
  </si>
  <si>
    <t>Brain and Cognition</t>
  </si>
  <si>
    <t>Journal of Work and Organizational Psychology</t>
  </si>
  <si>
    <t>Australasian Journal of Educational Technology</t>
  </si>
  <si>
    <t>Journal of Clinical Epidemiology</t>
  </si>
  <si>
    <t>Collabra: Psychology</t>
  </si>
  <si>
    <t>International Journal of Educational Research</t>
  </si>
  <si>
    <t>PLoS ONE</t>
  </si>
  <si>
    <t>Journal of Applied Psychology</t>
  </si>
  <si>
    <t>Multivariate Behavioral Research</t>
  </si>
  <si>
    <t>International Journal of Nursing Studies</t>
  </si>
  <si>
    <t>Dissertation Abstracts International: Section B: The Sciences and Engineering</t>
  </si>
  <si>
    <t>Journal of Marketing</t>
  </si>
  <si>
    <t>Journal of Research in Personality</t>
  </si>
  <si>
    <t>Journal of Computing in Higher Education</t>
  </si>
  <si>
    <t>Computers &amp; Education</t>
  </si>
  <si>
    <t>Journal of Medical Internet Research</t>
  </si>
  <si>
    <t>Neuroscience &amp; Biobehavioral Reviews</t>
  </si>
  <si>
    <t>Journal of Advertising</t>
  </si>
  <si>
    <t>Journal of Intelligence</t>
  </si>
  <si>
    <t>Mindfulness</t>
  </si>
  <si>
    <t>Health Psychology</t>
  </si>
  <si>
    <t>Journal of Pedagogical Research</t>
  </si>
  <si>
    <t>PNAS Proceedings of the National Academy of Sciences of the United States of America</t>
  </si>
  <si>
    <t>Human Resource Management Journal</t>
  </si>
  <si>
    <t>Human Resource Management Review</t>
  </si>
  <si>
    <t>Journal of Theoretical Educational Science</t>
  </si>
  <si>
    <t>Psychology of Violence</t>
  </si>
  <si>
    <t>Personality and Social Psychology Review</t>
  </si>
  <si>
    <t>Psychological Bulletin</t>
  </si>
  <si>
    <t>Simonsmeier, B. A., Flaig, M., Simacek, T., &amp; Schneider, M. (2022). What sixty years of research says about the effectiveness of patient education on health: A second-order meta-analysis. Health Psychology Review, 16(3), 450–474. https://doi.org/10.1080/17437199.2021.1967184</t>
  </si>
  <si>
    <t>Christensen, K. M., Assink, M., van Dam, L., Stams, G.-J., Poon, C. Y. S., Astesano, J., &amp; Rhodes, J. E. (2023). Youth interventions with and without supervised practice: A second-order meta-analysis. Child &amp; Adolescent Social Work Journal. https://doi.org/10.1007/s10560-023-00921-4</t>
  </si>
  <si>
    <t>Steenbergen-Hu, S., Makel, M. C., &amp; Olszewski-Kubilius, P. (2016). What One Hundred Years of Research Says About the Effects of Ability Grouping and Acceleration on K–12 Students’ Academic Achievement: Findings of Two Second-Order Meta-Analyses. Review of Educational Research, 86(4), 849-899. https://doi.org/10.3102/0034654316675417</t>
  </si>
  <si>
    <t>Tamim, R. M., Bernard, R. M., Borokhovski, E., Abrami, P. C., &amp; Schmid, R. F. (2011). What forty years of research says about the impact of technology on learning: A second-order meta-analysis and validation study. Review of Educational Research, 81(1), 4–28. https://doi.org/10.3102/0034654310393361</t>
  </si>
  <si>
    <t>Korous, K. M., Causadias, J. M., Bradley, R. H., &amp; Luthar, S. S. (2018). Unpacking the link between socioeconomic status and behavior problems: A second-order meta-analysis. Development and Psychopathology, 30(5), 1889–1906. https://doi.org/10.1017/S0954579418001141</t>
  </si>
  <si>
    <t>Young, J. (2017). Technology-enhanced mathematics instruction: a second-order meta-analysis of 30 years of research. Educational Research Review, 22, 19-33. https://doi.org/10.1016/j.edurev.2017.07.001</t>
  </si>
  <si>
    <t>Munder, T., Brütsch, O., Leonhart, R., Gerger, H., &amp; Barth, J. (2013). Researcher allegiance in psychotherapy outcome research: an overview of reviews. Clinical Psychology Review, 33(4), 501-511. https://doi.org/10.1016/j.cpr.2013.02.002</t>
  </si>
  <si>
    <t>Clark, G.M. &amp; Lum, J.A.G. (2017). Procedural learning in parkinson’s disease, specific language impairment, dyslexia, schizophrenia, developmental coordination disorder, and autism spectrum disorders: a second-order meta-analysis. Brain and Cognition, 117, 41-48. https://doi.org/10.1016/j.bandc.2017.07.004</t>
  </si>
  <si>
    <t>Sipe, T.A. &amp; Curlette, W.L. (1996). A meta-synthesis of factors related to educational achievement: a methodological approach to summarizing and synthesizing meta-analyses. International Journal of Educational Research, 25(7), 583-698. https://doi.org/10.1016/S0883-0355(96)80001-2</t>
  </si>
  <si>
    <t>Türk, S., Korfmacher, A., Gerger, H., van der Oord, S., &amp; Christiansen, H. (2023). Interventions for adhd in childhood and adolescence: a systematic umbrella review and meta-meta-analysis. Clinical Psychology Review, 102, 102271. https://doi.org/10.1016/j.cpr.2023.102271</t>
  </si>
  <si>
    <t>Dragioti, E., Tsartsalis, D., Mentis, M., Mantzoukas, S., &amp; Gouva, M. (2022). Impact of the covid-19 pandemic on the mental health of hospital staff: an umbrella review of 44 meta-analyses. International Journal of Nursing Studies, 131, 104272. https://doi.org/10.1016/j.ijnurstu.2022.104272</t>
  </si>
  <si>
    <t>He, Y., Donnellan, M.B., &amp; Mendoza, A.M. (2019). Five-factor personality domains and job performance: a second order meta-analysis. Journal of Research in Personality, 82, 103848. https://doi.org/10.1016/j.jrp.2019.103848</t>
  </si>
  <si>
    <t>Kim, S. (2022). Fifty years of parental involvement and achievement research: a second-order meta-analysis. Educational Research Review, 37, 100463. https://doi.org/10.1016/j.edurev.2022.100463</t>
  </si>
  <si>
    <t>Archer, K., Savage, R., Sanghera-Sidhu, S., Wood, E., Gottardo, A., &amp; Chen, V. (2014). Examining the effectiveness of technology use in classrooms: a tertiary meta-analysis. Computers &amp; Education, 78, 140-149. https://doi.org/10.1016/j.compedu.2014.06.001</t>
  </si>
  <si>
    <t>Martin, F., Sun, T., Westine, C.D., &amp; Ritzhaupt, A.D. (2022). Examining research on the impact of distance and online learning: a second-order meta-analysis study. Educational Research Review, 36, 100438. https://doi.org/10.1016/j.edurev.2022.100438</t>
  </si>
  <si>
    <t>Herranz-Gómez, A., Gaudiosi, C., Angulo-Díaz-Parreño, S., Suso-Martí, L., La Touche, R., &amp; Cuenca-Martínez, F. (2020). Effectiveness of motor imagery and action observation on functional variables: an umbrella and mapping review with meta-meta-analysis. Neuroscience &amp; Biobehavioral Reviews, 118, 828-845. https://doi.org/10.1016/j.neubiorev.2020.09.009</t>
  </si>
  <si>
    <t>Chiaburu, D.S., Oh, I., Wang, J., &amp; Stoverink, A.C. (2017). A bigger piece of the pie: the relative importance of affiliative and change-oriented citizenship and task performance in predicting overall job performance. Human Resource Management Review, 27(1), 97-107. https://doi.org/10.1016/j.hrmr.2016.09.006</t>
  </si>
  <si>
    <t>Wu, H. &amp; Shen, J. (2022). The association between principal leadership and student achievement: a multivariate meta-meta-analysis. Educational Research Review, 35, 100423. https://doi.org/10.1016/j.edurev.2021.100423</t>
  </si>
  <si>
    <t>Demir, M. &amp; Kaya, M. (2022). Analysis of constructivist learning model's effects on student outcomes: a second order meta-analysis. Journal of Theoretical Educational Science, 15(4), 938-957.</t>
  </si>
  <si>
    <t>Kim, B., Merlo, A.V., &amp; Benekos, P.J. (2013). Effective correctional intervention programmes for juveniles: review and synthesis of meta-analytic evidence. International Journal of Police Science &amp; Management, 15(3), 169–189. https://doi.org/10.1350/ijps.2013.15.3.310</t>
  </si>
  <si>
    <t>Saltaji, H., Armijo-Olivo, S., Cummings, G., Amin, M., da Costa, B., &amp; Flores-Mir, C. (2018). Impact of selection bias on treatment effect size estimates in randomized trials of oral health interventions: a meta-epidemiological study. Journal of Dental Research, 97(1), 5–13. https://doi.org/10.1177/0022034517725049</t>
  </si>
  <si>
    <t>Zlatevska, N., Barton, B., Dubelaar, C., &amp; Hohberger, J. (2024). Navigating through nutrition labeling effects: a second-order meta-analysis. Journal of Public Policy &amp; Marketing, 43(1), 76–94. https://doi.org/10.1177/07439156231158115</t>
  </si>
  <si>
    <t>Weber, L., Kamp-Becker, I., Christiansen, H., &amp; Mingebach, T. (2019). Treatment of child externalizing behavior problems: a comprehensive review and meta-meta-analysis on effects of parent-based interventions on parental characteristics. European Child &amp; Adolescent Psychiatry, 28(8), 1025-1036. https://doi.org/10.1007/s00787-018-1175-3</t>
  </si>
  <si>
    <t>Zell, E. &amp; Johansson, J.S. (2024). The association of self-esteem with health and well-being: a quantitative synthesis of 40 meta-analyses. Social Psychological and Personality Science, 0(0). https://doi.org/10.1177/19485506241229308</t>
  </si>
  <si>
    <t>Yang, H.L. &amp; Xiang, J.J. (2024). Mobile learning and students’ academic achievement: a second-order meta-analysis study. Journal of Educational Computing Research, 0(0). https://doi.org/10.1177/07356331241226589</t>
  </si>
  <si>
    <t>Vieira, V.A., Araujo, C.F., &amp; de Almeida, M.I.S. (2024). Customer relational benefit: a second-order meta-analysis and an alternative framework. International Journal of Consumer Studies, 48(1). https://doi.org/10.1111/ijcs.12987</t>
  </si>
  <si>
    <t>Emslander, V., Holzberger, D., Ofstad, S.B., Fischbach, A., &amp; Scherer, R. (2023). Teacher-student relationships and student outcomes: a systematic review of meta-analyses and second-order meta-analysis</t>
  </si>
  <si>
    <t>Craig Aulisi, L., Markell-Goldstein, H. M., Cortina, J. M., Wong, C. M., Lei, X., &amp; Foroughi, C. K. (2023). Detecting gender as a moderator in meta-analysis: The problem of restricted between-study variance. Psychological Methods. https://doi-org/10.1037/met0000603</t>
  </si>
  <si>
    <t>Jansen, T., Meyer, J., Wigfield, A., &amp; Möller, J. (2022). Which student and instructional variables are most strongly related to academic motivation in k-12 education? a systematic review of meta-analyses.. Psychological Bulletin, 148(1-2), 1–26. https://doi.org/10.1037/bul0000354</t>
  </si>
  <si>
    <t>Wilmot, M.P.,&amp; Ones, D.S. (2022). Agreeableness and its consequences: a quantitative review of meta-analytic findings. Personality and Social Psychology Review, 26(3), 242-280. https://doi.org/10.1177/10888683211073007</t>
  </si>
  <si>
    <t>Duke, A.A., Smith, K.M.Z., Oberleitner, L.M.S., Westphal, A., &amp; McKee, S.A. (2018). Alcohol, drugs, and violence: a meta-meta-analysis. Psychology of Violence, 8(2), 238-249. https://doi.org/10.1037/vio0000106</t>
  </si>
  <si>
    <t>Causadias, J.M., Korous, K.M., Cahill, &amp; K.M. (2018). Are whites and minorities more similar than different? testing the cultural similarities hypothesis on psychopathology with a second-order meta-analysis. Development and Psychopathology, 30(5), 2009-2027. https://doi.org/10.1017/S0954579418000895</t>
  </si>
  <si>
    <t>Monzani, L., Escartin, J., Ceja, L., &amp; Bakker, A.B. (2021). Blending mindfulness practices and character strengths increases employee well-being: a second-order meta-analysis and a follow-up field experiment. Human Resource Management Journal, 31(4), 1025-1062. https://doi.org/10.1111/1748-8583.12360</t>
  </si>
  <si>
    <t>Wilmot, M.P., &amp; Ones, D.S. (2019). A century of research on conscientiousness at work. PNAS Proceedings of the National Academy of Sciences of the United States of America, 116(46), 23004-23010. https://doi.org/10.1073/pnas.1908430116</t>
  </si>
  <si>
    <t>Strickhouser, J.E., Zell, E., &amp; Krizan, Z. (2017). Does personality predict health and well-being? a metasynthesis. Health Psychology, 36(8), 797-810. https://doi.org/10.1037/hea0000475</t>
  </si>
  <si>
    <t>Rose, S., Zell, E., &amp; Strickhouser, J.E. (2020). The effect of meditation on health: a metasynthesis of randomized controlled trials. Mindfulness, 11(2), 507-516. https://doi.org/10.1007/s12671-019-01277-6</t>
  </si>
  <si>
    <t>Borokhovski, E., Tamim, R., &amp; Pickup, D. (2022). Technology application in teaching and learning: second-order review of meta-analyses. Commonwealth of Learning.</t>
  </si>
  <si>
    <t>Haring, R., Ghannad, M., Bertizzolo, L., &amp; Page, M.J. (2020). No evidence found for an association between trial characteristics and treatment effects in randomized trials of testosterone therapy in men: a meta-epidemiological study. Journal of Clinical Epidemiology, 122, 12-19. https://doi.org/10.1016/j.jclinepi.2020.02.004</t>
  </si>
  <si>
    <t>Caspi, O. (2004). How good are we? a meta-analytic study of effect sizes in medicine. Dissertation Abstracts International: Section B: The Sciences and Engineering, 65(5-B), 2607.</t>
  </si>
  <si>
    <t>Vanhove, A.J., &amp; Harms, P.D. (2015). Reconciling the two disciplines of organisational science: a comparison of findings from lab and field research. Applied Psychology: An International Review, 64(4), 637-673. https://doi.org/10.1111/apps.12046</t>
  </si>
  <si>
    <t>da Costa, S., Paez, D., Sanchez, F., Garaigordobil, M., &amp; Gondim, S. (2015). Personal factors of creativity: a second order meta-analysis. Journal of Work and Organizational Psychology, 31(3), 165-173. https://doi.org/10.1016/j.rpto.2015.06.002</t>
  </si>
  <si>
    <t>Rebar, A.L., Stanton, R., Geard, D., Short, C., Duncan, M.J., &amp; Vandelanotte, C. (2015). A meta-meta-analysis of the effect of physical activity on depression and anxiety in non-clinical adult populations. Health Psychology Review, 9(3), 366-378. https://doi.org/10.1080/17437199.2015.1022901</t>
  </si>
  <si>
    <t>Park, H., Wiernik, B.M., Oh, I., Gonzalez-Mule, E., Ones, D.S., &amp; Lee, Y. (2020). Meta-analytic five-factor model personality intercorrelations: eeny, meeny, miney, moe, how, which, why, and where to go. Journal of Applied Psychology, 105(12), 1490-1529. https://doi.org/10.1037/apl0000476</t>
  </si>
  <si>
    <t>Tarrahi, F., &amp; Eisend, M. (2016). The influence of judgment calls on meta-analytic findings. Multivariate Behavioral Research, 51(2-3), 314-319. https://doi.org/10.1080/00273171.2016.1147941</t>
  </si>
  <si>
    <t>Eisend, M. (2015). Have we progressed marketing knowledge? a meta-meta-analysis of effect sizes in marketing research. Journal of Marketing, 79(3), 23-40. https://doi.org/10.1509/jm.14.0288</t>
  </si>
  <si>
    <t>Wilmot, M.P., Wanberg, C.R., Kammeyer-Mueller, J.D., &amp; Ones, D.S. (2019). Extraversion advantages at work: a quantitative review and synthesis of the meta-analytic evidence. Journal of Applied Psychology, 104(12), 1447-1470. https://doi.org/10.1037/apl0000415</t>
  </si>
  <si>
    <t>Bernard, R.M., Borokhovski, E., Schmid, R.F., &amp; Tamim, R.M. (2014). An exploration of bias in meta-analysis: the case of technology integration research in higher education. Journal of Computing in Higher Education, 26(3), 183-209. https://doi.org/10.1007/s12528-014-9084-z</t>
  </si>
  <si>
    <t>Eisend, M., &amp; Tarrahi, F. (2016). The effectiveness of advertising: a meta-meta-analysis of advertising inputs and outcomes. Journal of Advertising, 45(4), 519-531. https://doi.org/10.1080/00913367.2016.1185981</t>
  </si>
  <si>
    <t>Christensen et al. (2023)</t>
  </si>
  <si>
    <t>Simonsmeier et al. (2022)</t>
  </si>
  <si>
    <t>Steenbergen-Hu et al. (2016)</t>
  </si>
  <si>
    <t>Tamim et al. (2011)</t>
  </si>
  <si>
    <t>Korous et al. (2018)</t>
  </si>
  <si>
    <t>Weber et al. (2019)</t>
  </si>
  <si>
    <t>Young (2017)</t>
  </si>
  <si>
    <t>Borokhovski et al. (2022)</t>
  </si>
  <si>
    <t>Tan et al. (2022)</t>
  </si>
  <si>
    <t>Munder et al. (2013)</t>
  </si>
  <si>
    <t>Vanhove &amp; Harms (2015)</t>
  </si>
  <si>
    <t>Fischer et al. (2020)</t>
  </si>
  <si>
    <t>Clark &amp; Lum (2017)</t>
  </si>
  <si>
    <t>da Costa et al. (2015)</t>
  </si>
  <si>
    <t>Hew et al. (2021)</t>
  </si>
  <si>
    <t>Haring et al. (2020)</t>
  </si>
  <si>
    <t>Sala et al. (2019)</t>
  </si>
  <si>
    <t>Noetel et al. (2022)</t>
  </si>
  <si>
    <t>Sipe &amp; Curlette (1996)</t>
  </si>
  <si>
    <t>Mingebach et al. (2018)</t>
  </si>
  <si>
    <t>Rebar et al. (2015)</t>
  </si>
  <si>
    <t>Park et al. (2020)</t>
  </si>
  <si>
    <t>Türk et al. (2023)</t>
  </si>
  <si>
    <t>Tarrahi &amp; Eisend (2016)</t>
  </si>
  <si>
    <t>Dragioti et al. (2022)</t>
  </si>
  <si>
    <t>Caspi (2004)</t>
  </si>
  <si>
    <t>Eisend (2015)</t>
  </si>
  <si>
    <t>He et al. (2019)</t>
  </si>
  <si>
    <t>Kim (2022)</t>
  </si>
  <si>
    <t>Wilmot et al. (2019)</t>
  </si>
  <si>
    <t>Bernard et al. (2014)</t>
  </si>
  <si>
    <t>Archer et al. (2014)</t>
  </si>
  <si>
    <t>Martin et al. (2022)</t>
  </si>
  <si>
    <t>Wu et al. (2021)</t>
  </si>
  <si>
    <t>Herranz-Gómez et al. (2020)</t>
  </si>
  <si>
    <t>Eisend &amp; Tarrahi (2016)</t>
  </si>
  <si>
    <t>Nuijten et al. (2020)</t>
  </si>
  <si>
    <t>Rose et al. (2020)</t>
  </si>
  <si>
    <t>Pietschnig et al. (2019)</t>
  </si>
  <si>
    <t>Strickhouser et al. (2017)</t>
  </si>
  <si>
    <t>Ozturk et al. (2022)</t>
  </si>
  <si>
    <t>Wilmot &amp; Ones (2019)</t>
  </si>
  <si>
    <t>Monzani et al. (2021)</t>
  </si>
  <si>
    <t>Chiaburu et al. (2017)</t>
  </si>
  <si>
    <t>Wu &amp; Shen (2022)</t>
  </si>
  <si>
    <t>Causadias et al. (2018)</t>
  </si>
  <si>
    <t>Gong &amp; Jiao (2019)</t>
  </si>
  <si>
    <t>Demir &amp; Kaya (2022)</t>
  </si>
  <si>
    <t>Duke et al. (2018)</t>
  </si>
  <si>
    <t>Wilmot &amp; Ones (2022)</t>
  </si>
  <si>
    <t>Jansen et al. (2022)</t>
  </si>
  <si>
    <t>Craig et al. (2023)</t>
  </si>
  <si>
    <t>Emslander et al. (2023)</t>
  </si>
  <si>
    <t>Kim et al. (2013)</t>
  </si>
  <si>
    <t>Saltaji et al. (2018)</t>
  </si>
  <si>
    <t>Vieira et al. (2024)</t>
  </si>
  <si>
    <t>Yang &amp; Xiang (2024)</t>
  </si>
  <si>
    <t>Zell &amp; Johansson (2024)</t>
  </si>
  <si>
    <t>Zlatevska et al. (2024)</t>
  </si>
  <si>
    <t>published</t>
  </si>
  <si>
    <t>developmental &amp; educational</t>
  </si>
  <si>
    <t>no</t>
  </si>
  <si>
    <t>yes</t>
  </si>
  <si>
    <t>Cohen’s kappa</t>
  </si>
  <si>
    <t>as a moderator</t>
  </si>
  <si>
    <t>Comprehensive Meta-Analysis (V3)</t>
  </si>
  <si>
    <t>trim-and-fill plot related to publication bias</t>
  </si>
  <si>
    <t>Department of Psychology, UNC Greensboro, NC, USA</t>
  </si>
  <si>
    <t>USA</t>
  </si>
  <si>
    <t xml:space="preserve">not reported </t>
  </si>
  <si>
    <t>not reported</t>
  </si>
  <si>
    <t>Q statistics and I²</t>
  </si>
  <si>
    <t>range_ub</t>
  </si>
  <si>
    <t>(‘meta-analysis’ OR ‘review’ OR ‘meta-analytic’)</t>
  </si>
  <si>
    <t>not addressed, but they used selection rules (full sample over sub sample, specific domain over overall domain, average of the same domain over subdomains, average of school outcome over subdomain of school outcome)</t>
  </si>
  <si>
    <t>"meta-ana*"</t>
  </si>
  <si>
    <t>percentage of overlap in number of shared samples devided by total number of samples.</t>
  </si>
  <si>
    <t xml:space="preserve">Faculty of Education, University of Hong Kong, Pokfulam, Hong Kong </t>
  </si>
  <si>
    <t xml:space="preserve">Hong Kong, China </t>
  </si>
  <si>
    <t>k=1.00 and k=0.98</t>
  </si>
  <si>
    <t>25% cut off criterion</t>
  </si>
  <si>
    <t>Assessment tool name</t>
  </si>
  <si>
    <t>assessment_name</t>
  </si>
  <si>
    <t xml:space="preserve">R-AMSTAR (Kung et al., 2010) </t>
  </si>
  <si>
    <t>overall continuous quality score</t>
  </si>
  <si>
    <t>funnel plot of standard errors, Duval and Tweedie’s trim-and-fill method to estimate the effect of missing studies, and Rosenthal’s fail-safe N to calculate how many additional studies would be needed to nullify the observed effects</t>
  </si>
  <si>
    <t>Q test of homogeneity (Hedges and Olkin, 1985) and I-squared</t>
  </si>
  <si>
    <t>Back and forth search, hand search.</t>
  </si>
  <si>
    <t>They interpret effects using recommended guidelines for individual differ- ences research (0.05 = very small, 0.10 = small, 0.20 = medium, 0.30 = large, 0.40 = very large; Funder &amp; Ozer, 2019; Gignac &amp; Szodorai, 2016)… In cases where meta- analyses provided multiple effects (see below), they estimated N and k from the effect with the largest sample and/or number of studies, to avoid double-counting... However, we did not include longitudinal studies on self-esteem and health/well-being given that these studies utilize a different effect size metric (standardized betas), involve multiple measurements of constructs, and have been reviewed else- where (Orth &amp; Robins, 2022).</t>
  </si>
  <si>
    <t>social, personality, health</t>
  </si>
  <si>
    <t xml:space="preserve">to assess the overall association between self-esteem and health/well-being. </t>
  </si>
  <si>
    <t>diverser participants included individuals across different age groups, including children, adolescents, and adults, from diverse backgrounds and regions.</t>
  </si>
  <si>
    <t xml:space="preserve">excluded fully overlapping Mas, </t>
  </si>
  <si>
    <t>random-effects meta-analyses</t>
  </si>
  <si>
    <t>averaging effects across related outcomes (form of two-step aggregation)</t>
  </si>
  <si>
    <t xml:space="preserve">moderation tests to compare the association between self-esteem and health/well-being in published versus unpublished studies. </t>
  </si>
  <si>
    <t>developmental and educational psychology</t>
  </si>
  <si>
    <t>Canada</t>
  </si>
  <si>
    <t>students (range elementary to high school)</t>
  </si>
  <si>
    <t>Inter-rater agreement</t>
  </si>
  <si>
    <t>92.9% for training/support score and 85.7% for fidelity score</t>
  </si>
  <si>
    <t>Neuropsychology</t>
  </si>
  <si>
    <t>Departamento de Fisioterapia, Centro Superior de Estudios Universitarios La Salle, Universidad Aut´ onoma de Madrid, Madrid, Spain</t>
  </si>
  <si>
    <t>Spain</t>
  </si>
  <si>
    <t>participants diagnosed with neurological conditions, primarily stroke patients, as well as individuals with Parkinson's disease and musculoskeletal disorders (One study included healthy indviduals). Participant ages range from 17 to 80 years</t>
  </si>
  <si>
    <t>randomized controlled trials (RCTs), controlled clinical trials (CCTs)</t>
  </si>
  <si>
    <t>Hedges' g (Standardized Mean Differences, SMD)</t>
  </si>
  <si>
    <t xml:space="preserve">AMSTAR </t>
  </si>
  <si>
    <t>percentage agreement scores</t>
  </si>
  <si>
    <t>86% agreement</t>
  </si>
  <si>
    <t>overall quality score</t>
  </si>
  <si>
    <t>as a weighting factor OR  In the discussion</t>
  </si>
  <si>
    <t xml:space="preserve">no </t>
  </si>
  <si>
    <t>funnel plots</t>
  </si>
  <si>
    <t xml:space="preserve">Wilfrid Laurier University, Canada </t>
  </si>
  <si>
    <t>Comprehensive Meta-Analysis</t>
  </si>
  <si>
    <t>random-effects model</t>
  </si>
  <si>
    <t>Q-statistic and Tau-squared (T²)</t>
  </si>
  <si>
    <t>subgroup analyses</t>
  </si>
  <si>
    <t>low methodological quality, high risk of bias, variability between systematic reviews, lack of long-term follow-up, and difficulty conducting quantitative analysis on certain variables due to the lack of comparable studies (Paucity of comparable studies), ​and  the two favorable quantitative results of the meta-meta-analysis (MMA) showed high heterogeneity</t>
  </si>
  <si>
    <t>Bayburt University, Faculty of Education, Turkey</t>
  </si>
  <si>
    <t>Turkey</t>
  </si>
  <si>
    <t>Gong, Z., &amp; Jiao, X. (2019). Are effect sizes in emotional intelligence field declining? a meta-meta analysis. Frontiers in Psychology, 10, 1655. https://doi.org/10.3389/fpsyg.2019.01655</t>
  </si>
  <si>
    <t>Ozturk, B., Kaya, M., &amp; Demir, M. (2022). Does inquiry-based learning model improve learning outcomes? a second-order meta-analysis. Journal of Pedagogical Research, 6(4), 201-216. https://doi.org/10.33902/JPR.202217481</t>
  </si>
  <si>
    <t>Pietschnig, J., Siegel, M., Eder, J.S.N., &amp; Gittler, G. (2019). Effect declines are systematic, strong, and ubiquitous: a meta-meta-analysis of the decline effect in intelligence research. Frontiers in Psychology, 10, 2874 . https://doi.org/10.3389/fpsyg.2019.02874</t>
  </si>
  <si>
    <t>Nuijten, M.B., van Assen, M.A.L.M., Augusteijn, H.E.M., Crompvoets, E.A.V., &amp; Wicherts, J.M. (2020). Effect sizes, power, and biases in intelligence research: a meta-meta-analysis. Journal of Intelligence, 8(4), 36.</t>
  </si>
  <si>
    <t>Wu, J., Zeng, A., Chen, Z., Wei, Y., Huang, K., Chen, J., &amp; Ren, Z. (2021). Effects of virtual reality training on upper limb function and balance in stroke patients: systematic review and meta-meta-analysis. Journal of Medical Internet Research, 23(10), e31051. https://doi.org/10.2196/31051</t>
  </si>
  <si>
    <t>Mingebach, T., Kamp-Becker, I., Christiansen, H., &amp; Weber, L. (2018). Meta-meta-analysis on the effectiveness of parent-based interventions for the treatment of child externalizing behavior problems. PLoS ONE, 13(9), e0202855. https://doi.org/10.1371/journal.pone.0202855</t>
  </si>
  <si>
    <t>Noetel, M., Griffith, S., Delaney, O., Harris, N.R., Sanders, T., Parker, P., del Pozo Cruz, B., &amp; Lonsdale, C. (2022). Multimedia design for learning: an overview of reviews with meta-meta-analysis. Review of Educational Research, 92(3), 413-454. https://doi-org.ezproxy.uio.no/10.3102/00346543211052329</t>
  </si>
  <si>
    <t>Sala, G., Aksayli, N.D., Tatlidil, K.S., Tatsumi, T., Gondo, Y., &amp; Gobet, F. (2019). Near and far transfer in cognitive training: a second-order meta-analysis. Collabra: Psychology, 5(1), 18. https://doi.org/10.1525/collabra.203</t>
  </si>
  <si>
    <t>Hew, K.F., Bai, S., Huang, W., Dawson, P., Du, J., Huang, G., Jia, C., &amp; Thankrit, K. (2021). On the use of flipped classroom across various disciplines: insights from a second-order meta-analysis. Australasian Journal of Educational Technology, 37(2), 132-151. https://doi.org/10.14742/ajet.6475</t>
  </si>
  <si>
    <t>Fischer, R., Bortolini, T., Karl, J.A., Zilberberg, M., Robinson, K., Rabelo, A., Gemal, L., Wegerhoff, D., Nguyen, T.B.T., Irving, B., Chrystal, M., &amp; Mattos, P. (2020). Rapid review and meta-meta-analysis of self-guided interventions to address anxiety, depression, and stress during covid-19 social distancing. Frontiers in Psychology, 11, 563876. https://doi.org/10.3389/fpsyg.2020.563876</t>
  </si>
  <si>
    <t>Tan, C.Y., Gao, L., &amp; Shi, M. (2022). Second-order meta-analysis synthesizing the evidence on associations between school leadership and different school outcomes. Educational Management Administration &amp; Leadership, 50(3), 469-490. https://doi-org.ezproxy.uio.no/10.1177/1741143220935456</t>
  </si>
  <si>
    <t>quantitative</t>
  </si>
  <si>
    <t>Languages included</t>
  </si>
  <si>
    <t>incl_lang</t>
  </si>
  <si>
    <t>k12 students (and "higher")</t>
  </si>
  <si>
    <t>English and Turkish; author's mothertongue</t>
  </si>
  <si>
    <t>meta-analysis OR meta-analytic</t>
  </si>
  <si>
    <t>Meta-analysis research should involve statistical data sufficient for calculating effect size</t>
  </si>
  <si>
    <t>studies with an overlap of more that 25% were excluded</t>
  </si>
  <si>
    <t>R-AMSTAR (Kung et al., 2010)</t>
  </si>
  <si>
    <t>overall quality score (ordinal: insufficient, low, medium and high)</t>
  </si>
  <si>
    <t>funnel plot graphic analysis, Egger’s regression test, Begg and Mazumdar rank correlation test, and Duval and Tweedie, trim and fill analysis (DTTF) techniques are used</t>
  </si>
  <si>
    <t>categorial moderators were analyzed</t>
  </si>
  <si>
    <t>It was helpful to have a table showing the overlapping studies with the respective reason, why one study was preferred over the other (Appendix 2).</t>
  </si>
  <si>
    <t>“systematic review” and “meta-analysis” as filters</t>
  </si>
  <si>
    <t>no inter-rater reliability for coding, κ = 0.84  ( for the quality rating), κ = 0.89  ( for the risk of bias rating)</t>
  </si>
  <si>
    <t>funnel plots, RoB assessment with ROBIS</t>
  </si>
  <si>
    <t>meta-analyses with interactive explanations (MIX, version 1.7) (Bax et al., 2006)</t>
  </si>
  <si>
    <t>Two of the authors conducted the search independently from each other, discussed and solved differences. They used AMSTAR, ROBIS and GRADE to assess Quality and RoB. Evidence (Gap) Map is very clear with differen variables and populations indicated by shabe and color while simulatneously assessing the strenght of the findings.</t>
  </si>
  <si>
    <t>They used meta-analyses by combining and reanalizing their samples. Thus, it might be argued that it is not a SOMA.</t>
  </si>
  <si>
    <t>converted all ES into Hedges' g and used random effects model to aggregate</t>
  </si>
  <si>
    <t>overall quality scores (one for Training and support and one for implementation fidelity of the intervention)</t>
  </si>
  <si>
    <t>Universidad del País Vasco, Spain</t>
  </si>
  <si>
    <t>Not reported</t>
  </si>
  <si>
    <t>inter-rater agreement</t>
  </si>
  <si>
    <t>published assessment tool</t>
  </si>
  <si>
    <t>Australia</t>
  </si>
  <si>
    <t>as a weighting factor</t>
  </si>
  <si>
    <t>Germany</t>
  </si>
  <si>
    <t>"(meta-analysis or meta-analytic)"</t>
  </si>
  <si>
    <t>Hong Kong</t>
  </si>
  <si>
    <t>work and organizational psychology</t>
  </si>
  <si>
    <t>educational psychology</t>
  </si>
  <si>
    <t>The University of Hong Kong, Hong Kong</t>
  </si>
  <si>
    <t>not stated</t>
  </si>
  <si>
    <t>any participant taking part in an experimental or correlational study on the link between creativity and personality that was meta-analysed.</t>
  </si>
  <si>
    <t>higher education students in flipped and non-flipped classrooms</t>
  </si>
  <si>
    <t>inclusion criterion was "must be written in Enlish", but authors included English, Chinese, and English+Turkish meta-analyses</t>
  </si>
  <si>
    <t>meta-analysis, state of the art, review, </t>
  </si>
  <si>
    <t xml:space="preserve">(“review” OR “synthesis” OR “meta-analysis”) </t>
  </si>
  <si>
    <t>correlational or experimental</t>
  </si>
  <si>
    <t>r or d</t>
  </si>
  <si>
    <t>100% for study information and 93% for quality rating</t>
  </si>
  <si>
    <t>not applicable to this approach</t>
  </si>
  <si>
    <t xml:space="preserve">Q-statistic </t>
  </si>
  <si>
    <t>Comprehensive Meta-Analysis (Borenstein et al, 2009)</t>
  </si>
  <si>
    <t>(1) use more sophisticated methods (e.g., mediation analysis) and (2) broaden the sample socially and culturally.</t>
  </si>
  <si>
    <t xml:space="preserve">(1) they conducted two kinds of SOMA and compared them: (a) one in which primary study overlap was ignored and the level of analysis was the meta-analysis and (b) a reanalysis of all included primary studies without overlapping studies. (2) great summary of the ussue of primary study overlap. </t>
  </si>
  <si>
    <t>(1) "number of participants": we only summed up the N of meta-analyses which reported N.</t>
  </si>
  <si>
    <t>This study was pre-open-science.</t>
  </si>
  <si>
    <t>clinical and health psychology</t>
  </si>
  <si>
    <t>organizational psychology, social psycholgy</t>
  </si>
  <si>
    <t>School of Human, Health, and Social Sciences, Central Queensland University, Rockhampton, QLD, Australia</t>
  </si>
  <si>
    <t xml:space="preserve">European University Viadrina, Frankfurt (Oder), Germany </t>
  </si>
  <si>
    <t>non clinical popliation</t>
  </si>
  <si>
    <t>consumers</t>
  </si>
  <si>
    <t xml:space="preserve">meta </t>
  </si>
  <si>
    <t>(“metaanaly*,” “meta-analy*,” “quantitative review,” “synthesis,” and “generalization,”)</t>
  </si>
  <si>
    <t>Meta-analyses were included</t>
  </si>
  <si>
    <t>randomized trials</t>
  </si>
  <si>
    <t>intraclass correlation (ICC)</t>
  </si>
  <si>
    <t xml:space="preserve">for quality: ICC = 0.95, 95% CI: 0.92 to 0.97) </t>
  </si>
  <si>
    <t>95% (just for assigning ES to subject areas), 100% for all other variables</t>
  </si>
  <si>
    <t>AMSTAR (Shea et al., 2007, 2009)</t>
  </si>
  <si>
    <t>overall quality score that translated to low (0-4), moderate (5-8) or high quality (9-11)</t>
  </si>
  <si>
    <t>meta-regression</t>
  </si>
  <si>
    <t xml:space="preserve">R (version 2.15.0) package metafor (R Core Team, 2013; Viechtbauer, 2010). </t>
  </si>
  <si>
    <t>It should be discussed in the paper whether it is good to weight the included meta-analyses by their quality.</t>
  </si>
  <si>
    <t>educational</t>
  </si>
  <si>
    <t>University of North Carolina Charlotte, 9201 University City Blvd, Charlotte, NC, 28223, United States</t>
  </si>
  <si>
    <t>k-12 and adult learners</t>
  </si>
  <si>
    <t>interrater reliability</t>
  </si>
  <si>
    <t>94% interrater reliability on the first phase coding of study characteristics and 89% interrater reliability on the second phase coding of effect size extraction.</t>
  </si>
  <si>
    <t>they quantified the percent of overlapping primary studies and eliminated, first, studies with more than 50% and , second, with more than 25% overlap. Then, they calculated robustness checks.</t>
  </si>
  <si>
    <t>Tamim et al's (2011) 16-item quality rating</t>
  </si>
  <si>
    <t>they averaged ES per MA.</t>
  </si>
  <si>
    <t>inluded party gray literature, funnel plot (Borenstain et al., 2009), classic fail-safe N (Rosenthal, 1979)</t>
  </si>
  <si>
    <t>Q statistics, Tau², and I².</t>
  </si>
  <si>
    <t>categorial moderators were analyzed and methodological quality as a continuous moderator</t>
  </si>
  <si>
    <t xml:space="preserve">Comprehensive Meta-Analysis (Version 3; Borenstein et al., 2014). </t>
  </si>
  <si>
    <t>need for better reporting in primary meta-analyses to facilitate furhter moderator analyses.</t>
  </si>
  <si>
    <t>(1) they conducted sensitivity/robustness analyses with different cutoffs for study overlap. (2) nice table for includsion and exclusion criteria. (3) helpful robustness check table</t>
  </si>
  <si>
    <t>Hamdan Bin Mohammed e-University​</t>
  </si>
  <si>
    <t>Australian Catholic University, Australia</t>
  </si>
  <si>
    <t>to identify how educators can most reliably make learning from multimedia more effective. The authors aimed to collate the best evidence on multimedia design principles, compare them on a common metric, and quantify their relative effects using meta-meta-analysis. This method allowed them to assess the robustness of proposed moderators and generalize findings across different learning environments. The overarching hypothesis is that multimedia design enhances learning by better managing cognitive load ((1) consistent comparison conditions: Most primary studies compare the presence versus absence of a specific design principle, making the findings easier to synthesize., (2) common outcomes: The reviews consistently report standardized measures of learning and cognitive load, facilitating direct comparison across studies., (3) robust and generalizable conclusions)</t>
  </si>
  <si>
    <t>any participants were eligible</t>
  </si>
  <si>
    <t>Hedges' g</t>
  </si>
  <si>
    <t>AMSTAR2 (Shea et al., 2017)</t>
  </si>
  <si>
    <t>several quality items that were kept separate</t>
  </si>
  <si>
    <t>random-effects multilevel meta-analysis</t>
  </si>
  <si>
    <t>metasem package (Cheung, 2014a) and msemtools (Conigrave, 2019) in R (R Core Team, 2020)</t>
  </si>
  <si>
    <t>mixed-effects meta-regression</t>
  </si>
  <si>
    <t>United Arab Emirates</t>
  </si>
  <si>
    <t xml:space="preserve"> inter-rater agreement and Cohen's kappa</t>
  </si>
  <si>
    <t>interrater agreement was 98.7% (Cohen’s κ = .97)</t>
  </si>
  <si>
    <t>author-developed</t>
  </si>
  <si>
    <t>not reported (methodological quality index)</t>
  </si>
  <si>
    <t xml:space="preserve">Comprehensive Meta Analysis 2.0 software package (Borenstein, Hedges, Higgins, &amp; Rothstein, 2005) </t>
  </si>
  <si>
    <t xml:space="preserve"> Q statistics and I²</t>
  </si>
  <si>
    <t>funnel plot</t>
  </si>
  <si>
    <t>Leibniz Institute for Science and Mathematics Education, Kiel, Germany</t>
  </si>
  <si>
    <t>Bayburt University, Bayburt, Turkey</t>
  </si>
  <si>
    <t>k-12 students</t>
  </si>
  <si>
    <t>English and Turkish</t>
  </si>
  <si>
    <t>Cohen’s d, Hedge’s g (Glass's delta is excluded)</t>
  </si>
  <si>
    <t>Meta-analyses were included and Research should include sufficient statistical data to calculate effect sizes.</t>
  </si>
  <si>
    <t>25% cut off value</t>
  </si>
  <si>
    <t>Egger’s test and Duval &amp; Tweedie's trim and fill analysis</t>
  </si>
  <si>
    <t>Q statistics and I² value</t>
  </si>
  <si>
    <t xml:space="preserve"> location bias, controlling for overlap among meta-analysis studies</t>
  </si>
  <si>
    <t>English and German</t>
  </si>
  <si>
    <t>meta-anal*</t>
  </si>
  <si>
    <t>k = .96</t>
  </si>
  <si>
    <t>a distribution of the meta-analytic effect sizes (Figure 2)</t>
  </si>
  <si>
    <t xml:space="preserve">yes </t>
  </si>
  <si>
    <t>R (version 4.1.0; R Core Team, 2020) and the metafor package (version 3.0.2; Viechtbauer, 2010)</t>
  </si>
  <si>
    <t>second-order standardized mean differences (SMD) using a two-level meta-analysis with robust variance estimation</t>
  </si>
  <si>
    <t>random-effects models</t>
  </si>
  <si>
    <t xml:space="preserve"> 85.5% (Cohen’s κ = .71) for the title &amp; abstract screening and 93.3% (Cohen’s  κ = .87) for the fulltext screening </t>
  </si>
  <si>
    <t>any language</t>
  </si>
  <si>
    <t xml:space="preserve">(meta-anal* or metaanal* or meta-regress* or “systematic review” or “rapid review” or “scoping review” or “State-of-the-art review” or “Systematic search and review” or “Systematized review” or “Mapping review” or “Systematic map”) </t>
  </si>
  <si>
    <t xml:space="preserve">only described quality of MAs </t>
  </si>
  <si>
    <t>multi-level meta-analysis</t>
  </si>
  <si>
    <t>(1) using the mean or median number of participants to estimate the number of participants from studies failing to report this information.</t>
  </si>
  <si>
    <t>yes,meta-analysis needed to report an average effect size</t>
  </si>
  <si>
    <t>first as a sum score of the 16 items and then split into weak, moderate, and strong meta-analyses</t>
  </si>
  <si>
    <t xml:space="preserve">SR-Accelerator (Rathbone et al., 2015) and abstrackr (Wallace et al., 2012)  </t>
  </si>
  <si>
    <t>Northeast Normal University, China</t>
  </si>
  <si>
    <t>conducted the second-order meta-analysis (SOMA) due to inconsistencies in first-order meta-analysis results and the limitations of qualitative research. They aimed to conduct a SOMA to gain a comprehensive evaluation of the impact of mobile learning on academic achievement, as well as to assess the moderating effects of contextual factors (e.g., publication year, subject category, grade level) and methodological quality. The inconsistencies across existing meta-analyses, made it imperative for the authors to explore these factors using a more rigorous quantitative approach​</t>
  </si>
  <si>
    <t>China</t>
  </si>
  <si>
    <t xml:space="preserve"> ("meta-analytic” or “meta-analysis” or “quantitative systematic review”)</t>
  </si>
  <si>
    <t>Comprehensive Meta-Analysis (CMA) 3.7</t>
  </si>
  <si>
    <t>(1) the authors miss aspects on which there is no review. (2) large varibility in the methods used between the included meta-analyses. (3) poor reporting of primary meta-analyses. (4) assessmet of publication bias was very divers. (5) no preregistrations. (6) only few meta-analyses assessed Primary study quality.</t>
  </si>
  <si>
    <t>Georgia State University, Atlanta, GA 30303, U.S.A.</t>
  </si>
  <si>
    <t>United States</t>
  </si>
  <si>
    <t>any participants in educatinal context were eligible (excluding preschoolers and high risk infants)</t>
  </si>
  <si>
    <t>Percent agreement was calculated for both total agreement and coder disagreements. For total agreement (both coders matching the senior author as the target), rates were 90.85% for the first and 91.62% for the last five meta-analyses, averaging 91.2% across all ten studies. For disagreements (where coders agreed with each other but not with the target), rates were 97.1% initially and 98.54% in the final five, averaging 97.82% across the studies.</t>
  </si>
  <si>
    <t>examining outcome variables and using specific decision rules</t>
  </si>
  <si>
    <t>mean effect sizes and descriptives like ANOVAs and post hoc comparisons for variance analysis</t>
  </si>
  <si>
    <t>selecting and calculating a single weighted mean effect size per category</t>
  </si>
  <si>
    <t>designs that allow for measuring differential effects among contextual characteristics; use standardized categories for coding variables to improve consistency across studies: investigate and account for publication bias rigorously, as it can significantly impact the confidence and reliability of meta-synthesis findings.</t>
  </si>
  <si>
    <t>(1) great review of the advantages of SOMAs on page 5. (2) Interesting discussion on up-to-dateness.</t>
  </si>
  <si>
    <t>maintaining and expand the use of the established criteria (e.g., PRISMA; Page et al., 2021). Standardizing the use of moderators. Clearly distinguish between correlational and experimental findings. Improving methodological quality and expanding the diversity of included samples. Also, need for future research to incorporate up-to-date studies and better geographic representation.</t>
  </si>
  <si>
    <t>not including all possible constructs but focusing on a selection, inclusion of correlational studies prevents investigating the direction of associations, “garbage in–garbage out” problem (e.g., Higgins, 2016), geographic bias and the heterogeneity of studies as limitations in this SOMA, lack diversity, not accounting for  shared method variance between self-report variables which can inflate effect sizes, including meta-analyses with partially unfitting samples (e.g. including tertiary education students), overshadowing smaller effect by including meta-analyses with very large samples.</t>
  </si>
  <si>
    <t>(1) While using multiple effect sizes in Chen et al (2021) and Kim &amp; Park (2019), the authors seem not to account for thie multiplicity of effect sizes.</t>
  </si>
  <si>
    <t>Q statistic, T² and I² statistics</t>
  </si>
  <si>
    <t>Comprehensive Meta-Analysis (CMA) 2</t>
  </si>
  <si>
    <t>("Meta-analytic" or "Meta analytic" or "Meta-analysis" or "Meta analysis" or "Quantitative Synthesis" or "Best Evidence Synthesis")</t>
  </si>
  <si>
    <t>interrater agreement</t>
  </si>
  <si>
    <t>funnel plots, and the correlation coefficients Kendall's tau, Spearman's rho, and sensitivitiy analyses (Begg, 1994; Greenhouse &amp; Iyengar, 1994).</t>
  </si>
  <si>
    <t>Experimental and Cognitive Psychology</t>
  </si>
  <si>
    <t>European University Viadrina, Frankfurt (Oder), Germany</t>
  </si>
  <si>
    <t>no, however eisend (2015): ('metaanaly*,' 'meta-analy*,' 'quantitative review,' 'synthesis,')</t>
  </si>
  <si>
    <t>multilevel modeling and coding multiple effect sizes separately</t>
  </si>
  <si>
    <t>multivariate approach with hierarchical linear modeling (HLM)</t>
  </si>
  <si>
    <t>social science and psychology</t>
  </si>
  <si>
    <t>comparing the effect sizes of published versus unpublished meta-analyses to check for significant differences</t>
  </si>
  <si>
    <t>calculating the proportion of second-order sampling error variance relative to the total variance for each main relationship.</t>
  </si>
  <si>
    <t>the high degree of abstraction (aggregation of various constructs) and the inability to evaluate specific theoretical models or account for moderator variables like culture and product type due to data aggregation​.</t>
  </si>
  <si>
    <t>Search for meta-analyses [chunk]</t>
  </si>
  <si>
    <t xml:space="preserve">mentioned in the discussion </t>
  </si>
  <si>
    <t>area_journal</t>
  </si>
  <si>
    <t>area_ma</t>
  </si>
  <si>
    <t>Area of psychology (of the journal)</t>
  </si>
  <si>
    <t>Area of psychology (of the meta-analysis)</t>
  </si>
  <si>
    <t>Orthodontic Graduate Program, University of Alberta, Edmonton Clinic Health Academy, Edmonton, Canada</t>
  </si>
  <si>
    <t>(systematic review* or meta-analys*)</t>
  </si>
  <si>
    <t>oral health patients</t>
  </si>
  <si>
    <t>randomized controlled trials (RCTs)</t>
  </si>
  <si>
    <t>the DerSimonian and Laird estimate of variance (DerSimonian and Kacker 2007)</t>
  </si>
  <si>
    <t>STATA 14 (StataCorp LP)</t>
  </si>
  <si>
    <t>stratified analyses</t>
  </si>
  <si>
    <t>Dentistry, Oral Surgery &amp; Medicine (clinical and health psychology)</t>
  </si>
  <si>
    <t>Multidisciplinary Sciences</t>
  </si>
  <si>
    <t>Psychology, Clinical</t>
  </si>
  <si>
    <t>Department of Child and Adolescent Psychiatry, Psychosomatics and Psychotherapy, Marburg, Germany​</t>
  </si>
  <si>
    <t>children under 13 years with externalizing behavior problems</t>
  </si>
  <si>
    <t>meta-analysis</t>
  </si>
  <si>
    <t>funnel plots and calculated fail-safe Ns</t>
  </si>
  <si>
    <t>standardized mean differences (SMD)</t>
  </si>
  <si>
    <t>PRISMA 2009 Checklist</t>
  </si>
  <si>
    <t>Institute of Psychology, University of Kassel, Germany</t>
  </si>
  <si>
    <t>Stata 11.2 (StataCorp, College Station, TX)</t>
  </si>
  <si>
    <t>fail-safe N</t>
  </si>
  <si>
    <t>the meta-analytic effect sizes were aggregated using a random-effects model. Effect sizes (e.g., correlations, standardized regression weights, Cohen's 𝑑) were converted into Fisher's Z for the analysis. The weights for individual effect sizes were determined by the inverse of the variance, incorporating the estimated between-study variance and the sampling variance of individual effect sizes.</t>
  </si>
  <si>
    <t>families</t>
  </si>
  <si>
    <t>after FU</t>
  </si>
  <si>
    <t xml:space="preserve"> 0.886 (p &lt; .001)</t>
  </si>
  <si>
    <t>intraclass correlation</t>
  </si>
  <si>
    <t>Comprehensive Meta-Analysis 2.0 (CMA) by Biostat (Borenstein et al., 2010) and R (R Core Team, 2015) package metafor (Viechtbauer, 2010)</t>
  </si>
  <si>
    <t>1717, 1262, 772, 558, 2574, 1906, 2581, 1078, 1558, 127, 13478, 5648, 3803, 3171, 1717, 4745, 399, 11797, 13588, 1063, 694, 16099, 1570, 284, 1519, and 5782.</t>
  </si>
  <si>
    <t xml:space="preserve">Chatty found 99490 </t>
  </si>
  <si>
    <t>Switzerland</t>
  </si>
  <si>
    <t>authors and participants of psychotherapy studies</t>
  </si>
  <si>
    <t>ranging from κ = 0.54 to 1.0, with 9 out of 12 above κ = 0.77</t>
  </si>
  <si>
    <t>(1) completeness of the pool of meta-analyses, because the construct of interest might not directly be mentioned in the keywords, title, or abstract. Mitigation: use expert solicitation and train coders well. (2) risk of publication bias (i.e., calculating the research allegiance bias but not reporting it, if it is not statistically significant).</t>
  </si>
  <si>
    <t>(1) Very thorough explanation of primary study overlap.</t>
  </si>
  <si>
    <t>Cochrane Risk of Bias tool</t>
  </si>
  <si>
    <t>selecting one effect size per trial but multiple trials per meta-analysis, the authors tackled effect size multiplicity with a multi-level meta-analytic approach.</t>
  </si>
  <si>
    <t>Number of Participants: For Carr et al., we added 772 pre FU; for Leijten, Melendez-Torres, et al, we added both meta-analyses (13478 + 5648); Maughen et al we added the full 3171; for Sanders et al and Tellegen and Sanders, we added 1 participant per family; and for Serketich &amp; Dumas, we multipled the Mean number of participants by the number of studies (26*28.86=750.36) and rounded the result; and for Thomas / Zimmer-gembeck, we added all 1519 participants.</t>
  </si>
  <si>
    <t>(AU) Quality representation: we coded as not reported, but we have the following information: "quality was represented by assessing random sequence generation, allocation concealment, and baseline comparability. Each item was scored as high, low, or unclear risk"</t>
  </si>
  <si>
    <t>(AW) We were unsure, whether this  should be excluded, as it doesn't seem to report an overall ES, however, they do moderator analyses.</t>
  </si>
  <si>
    <t>Psychology, Multidisciplinary</t>
  </si>
  <si>
    <t>Cohen's d</t>
  </si>
  <si>
    <t>I² statistic</t>
  </si>
  <si>
    <t xml:space="preserve">health care sciences &amp; services; public, environmental &amp; occupational health </t>
  </si>
  <si>
    <t>Monash University, Melbourne, Australia</t>
  </si>
  <si>
    <t>adult men receiving testosterone therapy</t>
  </si>
  <si>
    <t>Covidence</t>
  </si>
  <si>
    <t>exclusion rule</t>
  </si>
  <si>
    <t>version 1 of the Cochrane risk of bias tool (Higgins et al., 2011)</t>
  </si>
  <si>
    <t>separate quality items</t>
  </si>
  <si>
    <t>I² statistic and τ²</t>
  </si>
  <si>
    <t>metan and metareg commands in the statistical software package Stata (version 15)</t>
  </si>
  <si>
    <t>Psychology, Applied; Management</t>
  </si>
  <si>
    <t>figures illustrating the influence of moderators on these correlations were unique and informative​ because they clearly showed how moderators influenced correlations, explained variability across studies, enabled easy comparisons, and supported methodological recommendations.</t>
  </si>
  <si>
    <t>Philipps-University Marburg, Department of Clinical Child and Adolescent Psychology</t>
  </si>
  <si>
    <t>German and English</t>
  </si>
  <si>
    <t>Meta-analy* OR meta, analy* OR review OR systematic</t>
  </si>
  <si>
    <t xml:space="preserve">R version 4.0.0 with the packages ‘meta’, ‘metafor’ and ‘dmetar’ (Balduzzi, Rücker, &amp; Schwarzer, 2019; Harrer, Cuijpers, Furukawa, and Ebert, 2019; Viechtbauer, 2010). </t>
  </si>
  <si>
    <t>I²-statistic and 95% prediction intervals</t>
  </si>
  <si>
    <t>Department of Management, University of Toronto Scarborough</t>
  </si>
  <si>
    <t>(metaanaly OR quantitative review OR systematic review)</t>
  </si>
  <si>
    <t xml:space="preserve">any work-related participants </t>
  </si>
  <si>
    <t xml:space="preserve">Hunter and Schmidt’s (2014) psychometric meta-analysis </t>
  </si>
  <si>
    <t>study overlap was assessed and noted rather than quantified with exact measures.</t>
  </si>
  <si>
    <t xml:space="preserve">Meta-Analysis [ptyp] </t>
  </si>
  <si>
    <t xml:space="preserve"> Department of Human Resource Management, Fox School of Business, Temple University</t>
  </si>
  <si>
    <t>intra-class correlation (ICC; only for quality rating)</t>
  </si>
  <si>
    <t>0.774 (only for quality rating)</t>
  </si>
  <si>
    <t>Wilmot et al. 2019:</t>
  </si>
  <si>
    <t>3,215 </t>
  </si>
  <si>
    <t>credibility intervals (CR; they estimate the between-study heterogeneity in population effects and are calculated using SD of the true effect).</t>
  </si>
  <si>
    <t>Management</t>
  </si>
  <si>
    <t>Psychology, Social</t>
  </si>
  <si>
    <t>Department of Management, Mays Business School, Texas A&amp;M University, College Station, TX, United States​</t>
  </si>
  <si>
    <t>United States​</t>
  </si>
  <si>
    <t>primarily included North American employees across diverse job roles and industries, such as services, manufacturing, and finance. Specific job roles sampled include nurses, engineers, teachers, and firefighters​</t>
  </si>
  <si>
    <t>ProVar computed as the ratio of E(S2eρi) to σ2ρ</t>
  </si>
  <si>
    <t>bar chart: Figure 1: "Overall performance predicted by task performance, OCB-I, OCB-O, OCB-CH (% of relative importance)"</t>
  </si>
  <si>
    <t>second-order meta-analysis or second-order Schmidt-Hunter model</t>
  </si>
  <si>
    <t>second-order sampling error adjustments</t>
  </si>
  <si>
    <t>Department of Methodology &amp; Statistics, Tilburg School of Social and Behavioral Sciences,Tilburg University, The Netherlands</t>
  </si>
  <si>
    <t>The Netherlands</t>
  </si>
  <si>
    <t>TS = (meta-analysis)</t>
  </si>
  <si>
    <t>any participants</t>
  </si>
  <si>
    <t>mixed-effects meta-regressions</t>
  </si>
  <si>
    <t>Paule–Mandel estimator (variance across studies) and I² statistics</t>
  </si>
  <si>
    <t xml:space="preserve"> I² statistic</t>
  </si>
  <si>
    <t>School of Psychology at Victoria University of Wellington, Wellington, New Zealand</t>
  </si>
  <si>
    <t>New Zealand</t>
  </si>
  <si>
    <t>the participants included general population samples, working adults, clinical samples, and students.</t>
  </si>
  <si>
    <t>James Madison University, US</t>
  </si>
  <si>
    <t>Psychology, Applied</t>
  </si>
  <si>
    <t xml:space="preserve">“meta-analysis”, “metaanalytic”, “meta-analyses”, and “quantitative review”. </t>
  </si>
  <si>
    <t>“meta-analy*"</t>
  </si>
  <si>
    <t>metafor package in R (Viechtbauer, 2010)</t>
  </si>
  <si>
    <t xml:space="preserve">R using package “pwr” (Champely 2017) and R package metafor (Viechtbauer 2010). </t>
  </si>
  <si>
    <t>figure 2: Histogram of the effect sizes of 2442 primary studies about intelligence. figure 3: Decumulative proportions of power to detect small, medium, and large effects by study type​. SUPPLEMENTARY: Figure A2.1.1. The median power in different subtypes of intelligence research and intelligence research as a whole to detect different effect sizes</t>
  </si>
  <si>
    <t>(1) the thorough analysis of small-study effects, decline effects, US effects, median statistical power to detect small, medium, and large effects, and citation bias. This could be included in other SOMAs as well.</t>
  </si>
  <si>
    <t>employees in specific intact organizations, job applicants, cross-sectional employed populations, undergraduates, MBA students, and individuals engaged in simulated work tasks</t>
  </si>
  <si>
    <t>(1) Number of included meta-analyses [q]: Caution: there is a discrepancy between the flow chart (q = 33) and the text (q = 34). We used the number from the text.</t>
  </si>
  <si>
    <t>(1) effect_size_aggregation: Caution: it remains somewhat unclear, how the authors removed the 8 overlapping primary studies, because they are conducting a regular SOMA and not a MA of primary studies.</t>
  </si>
  <si>
    <t>subgroup analyses and WLS Regression</t>
  </si>
  <si>
    <t>(1) very interesting question, to compare lab and field research, which will also be interesting for other disciplines of psychology.</t>
  </si>
  <si>
    <t>Business</t>
  </si>
  <si>
    <t>Education &amp; Educational Research</t>
  </si>
  <si>
    <t>Nursing</t>
  </si>
  <si>
    <t>hospital staff (doctors, nurses, or other staff)</t>
  </si>
  <si>
    <t>Pain and Rehabilitation Centre, and Department of Health, Medicine and Caring Sciences, Linköping University, Linköping, Sweden</t>
  </si>
  <si>
    <t>Sweden</t>
  </si>
  <si>
    <t>prevalence estimates</t>
  </si>
  <si>
    <t>random-effects inverse-variance model (DerSimonian and Laird)</t>
  </si>
  <si>
    <t>Egger test and, Doi plots and LFK index</t>
  </si>
  <si>
    <t>STATA/SE, version 17.0 (StataCorpLLC)</t>
  </si>
  <si>
    <t>University of North Texas, United States</t>
  </si>
  <si>
    <t>students involved in mathematics education across various grade levels, ranging from K-12 to postsecondary education</t>
  </si>
  <si>
    <t>"meta-analysis, systematic review, and literature review"</t>
  </si>
  <si>
    <t>94.4% (Cohen's k = 0.93)</t>
  </si>
  <si>
    <t>R-AMSTAR</t>
  </si>
  <si>
    <t>overall quality score based on the inclusion of the related criteria and range from 0 to 4 points. The highest possible score on the instrument is 44</t>
  </si>
  <si>
    <t>Comprehensive MetaAnalysis (CMA) 2.0 (Borenstein, Hedges, Higgins, &amp; Rothstein, 2009)</t>
  </si>
  <si>
    <t>mixed-effects model</t>
  </si>
  <si>
    <t>Marketing, UTS Business School, University of Technology Sydney, Australia</t>
  </si>
  <si>
    <t>Sydney, Australia</t>
  </si>
  <si>
    <t>"meta-analysis," "review," "meta-analytic," "quantitative synthesis," and "systematic review."</t>
  </si>
  <si>
    <t xml:space="preserve">consumers </t>
  </si>
  <si>
    <t>funnel plot asymmetry (Egger et al. 1997) using the funnel asymmetry and precision effect tests (FAT-PET test; Stanley and Doucouliagos 2012)</t>
  </si>
  <si>
    <t>weighted least squares regression (WLS).</t>
  </si>
  <si>
    <t>Center for the Study of Learning and Performance, Concordia University, Montreal, QC, Canada</t>
  </si>
  <si>
    <t>above 0.80</t>
  </si>
  <si>
    <t>Hedges’ g</t>
  </si>
  <si>
    <t>several quality items kept separate</t>
  </si>
  <si>
    <t>Q-tests, I² statistics, and between-study variance estimates (τ²)</t>
  </si>
  <si>
    <t>Comprehensive MetaAnalysisTM version 2.2 (Borenstein et al. 2005)</t>
  </si>
  <si>
    <t>Department of Education, Yonsei University, Seoul, South Korea</t>
  </si>
  <si>
    <t>South Korea</t>
  </si>
  <si>
    <t>(‘meta-analysis’ OR ‘quantitative systematic review’)</t>
  </si>
  <si>
    <t>Cohen's kappa and  inter-rater agreement</t>
  </si>
  <si>
    <t>Comprehensive Meta-Analysis software (CMA; Version 3.0)</t>
  </si>
  <si>
    <t>Q-statistic, I² statistic</t>
  </si>
  <si>
    <t xml:space="preserve"> trim-and-fill method and funnel plots</t>
  </si>
  <si>
    <t>Psychology, DevelopmentalPediatricsPsychiatry</t>
  </si>
  <si>
    <t>Department of Child and Adolescent Psychiatry, Psychosomatics, and Psychotherapy, Hans-Sachs-Straße 4, 35039 Marburg, Germany.</t>
  </si>
  <si>
    <t>mainly comprised parents of children under the age of 13 years with externalizing behavior problems, such as conduct disorder (CD), oppositional defiant disorder (ODD), or ADHD</t>
  </si>
  <si>
    <t xml:space="preserve">(meta-analysis) </t>
  </si>
  <si>
    <t>ICC = 0.92 (p ≤ 0.001)</t>
  </si>
  <si>
    <t>PRISMA 2009 Checklist (Liberati et al., 2009)</t>
  </si>
  <si>
    <t>funnel plot and Fail-safe N</t>
  </si>
  <si>
    <t>Q test and I² statistics</t>
  </si>
  <si>
    <t>Comprehensive Meta-Analysis 2.0 (CMA) by Biostat (Borenstein, Hedges, Higgins, &amp; Rothstein, 2010) and R (version
3.2.4 revised) (R Core Team, 2015)) as well as the package metafor (Viechtbauer, 2010).</t>
  </si>
  <si>
    <t xml:space="preserve">k = 0.93; 95% agreement </t>
  </si>
  <si>
    <t>higher education students or adults</t>
  </si>
  <si>
    <t>("meta analysis"[Publication Type] OR "meta analysis as topic"[MeSH Terms] OR "meta analysis"[All Fields] OR ("meta analysis"[Publication Type] OR "meta analysis as topic"[MeSH Terms] OR "meta analysis"[All Fields]) OR (("meta"[Journal] OR "meta"[All Fields]) AND "analys*"[All Fields]) OR ("systematic review"[Publication Type] OR "systematic reviews as topic"[MeSH Terms] OR "systematic review"[All Fields]))</t>
  </si>
  <si>
    <t>doi plots to detect and quantify asymmetry of study effects (Furuya-Kanamori et al., 2018).</t>
  </si>
  <si>
    <t>Commonwealth of Learning (COL)</t>
  </si>
  <si>
    <t>‘meta-analysis’</t>
  </si>
  <si>
    <t>learners (k-12 students, university students, adults, and health care professionals, mixed groups)</t>
  </si>
  <si>
    <t>Inter-rater agreement and Cohen’s kappa</t>
  </si>
  <si>
    <t>abstract screening: Cohen’s kappa = 0.88, and full-text review: Cohen’s kappa = 0.65</t>
  </si>
  <si>
    <t>quantitative designs</t>
  </si>
  <si>
    <t>Cohen’s d, Hedges’ g, and Pearson’s r (Pearson’s r was converted to Cohen’s d)</t>
  </si>
  <si>
    <t xml:space="preserve"> Comprehensive Meta-Analysis software package version 3.3.070 (Borenstein et al., 2014)</t>
  </si>
  <si>
    <t>one-study-removed, classic fail-safe, Duval and Tweedie’s trim and fill, funnel plot examination</t>
  </si>
  <si>
    <t>Q-tests and I² statistics</t>
  </si>
  <si>
    <t>Social Work</t>
  </si>
  <si>
    <t>Psychology Department, University of Massachusetts Boston, Boston, MA 02125, USA</t>
  </si>
  <si>
    <t>students age kindergarten through higher education</t>
  </si>
  <si>
    <t>Cohen’s d or Hedges’ g values</t>
  </si>
  <si>
    <t>log-likelihood ratio tests</t>
  </si>
  <si>
    <t>three-level meta-analytic models</t>
  </si>
  <si>
    <t>School of Business, Virginia Commonwealth University</t>
  </si>
  <si>
    <t>heterogeneity was quantified by calculating sample size-weighted variances, measuring the between-study variance in gender proportions across 286 tests of gender as a moderator</t>
  </si>
  <si>
    <t>Psychology, Developmental</t>
  </si>
  <si>
    <t>Industrial Relations &amp; LaborManagement</t>
  </si>
  <si>
    <t>Ivey Business School at Western University, London, Canada</t>
  </si>
  <si>
    <t>employees in occupational settings, primarily healthcare workers, as the focus was on workplace well-being</t>
  </si>
  <si>
    <t>MPLUS 8.0 and IBM SPSS Statistics 25.0</t>
  </si>
  <si>
    <t>proportion of variance explained by sampling error (ProVar) and reliability (Rxx) of the first-order effect sizes</t>
  </si>
  <si>
    <t>"bare-bones" second-order meta-analysis (Oh, 2020; Schmidt &amp; Oh, 2013)</t>
  </si>
  <si>
    <t>T. Denny Sanford School of Social and Family Dynamics, Arizona State University</t>
  </si>
  <si>
    <t>Rayyan QCRI (Ouzzani, Hammady, Fedoroqicz, &amp; Elmagarmid, 2016)</t>
  </si>
  <si>
    <t>SPSS 24.0 software</t>
  </si>
  <si>
    <t>subgroup analyses and Q-test-based categorical comparisons</t>
  </si>
  <si>
    <t>Business School, Pontifícia Universidade Católica do Rio Grande do Sul (PUCRS), Porto Alegre, Brazil​</t>
  </si>
  <si>
    <t>Brazil</t>
  </si>
  <si>
    <t>‘Meta-Analysis’ OR ‘Meta-Analytics’ OR ‘Meta-Analytical’ OR ‘Meta-Analy*’</t>
  </si>
  <si>
    <t>k=0.91</t>
  </si>
  <si>
    <t>Pearson product–moment correlation coefficients (r-Pearson)</t>
  </si>
  <si>
    <t>subgroup analyses and meta-regression</t>
  </si>
  <si>
    <t>I² statistic and the Q-test</t>
  </si>
  <si>
    <t>random-effects model with the Hunter and Schmidt estimator for τ²</t>
  </si>
  <si>
    <t>Department of Educational Leadership, Research and Technology, Western Michigan University, USA</t>
  </si>
  <si>
    <t>(“meta-analysis” OR “systematic review” OR “meta-analytic”)</t>
  </si>
  <si>
    <t xml:space="preserve"> software Abstrackr  (Pigott &amp; Polanin, 2020)</t>
  </si>
  <si>
    <t>R package metafor (Viechtbauer, 2010) and clubSandwich (Pustejovsky, 2020a)</t>
  </si>
  <si>
    <t>τ^2 (between-study variance) and ω^2  (within-study variance) and multivariate homogeneity test</t>
  </si>
  <si>
    <t>multivariate meta-analysis and robust variance estimation</t>
  </si>
  <si>
    <t>(meta-analy* OR quantitative review OR systematic review)</t>
  </si>
  <si>
    <t>participants based on occupational contexts, such as education, job application, on the job, and career/lifespan</t>
  </si>
  <si>
    <t>κ = .88</t>
  </si>
  <si>
    <t>Bare-bones Schmidt-Hunter model</t>
  </si>
  <si>
    <t>standard deviations (SDr)</t>
  </si>
  <si>
    <t>University of Arkansas Fayetteville, USA</t>
  </si>
  <si>
    <t>general adult population, covering diverse domains such as interpersonal relationships, work attitudes, and psychological health.</t>
  </si>
  <si>
    <t>(meta-analy* or quantitative review or systematic review)</t>
  </si>
  <si>
    <t>Bare-bones Schmidt-Hunter model combined with second-order meta-analysis</t>
  </si>
  <si>
    <t>selecting one effect size per meta-analysis</t>
  </si>
  <si>
    <t xml:space="preserve">published </t>
  </si>
  <si>
    <t>If it was an unspecified number, we put 0.</t>
  </si>
  <si>
    <t>If it was written as a number larger then x, we put x.</t>
  </si>
  <si>
    <t>If it was only estimated, we put the estimate.</t>
  </si>
  <si>
    <t>The rules we used to calculate n were quite conservative:</t>
  </si>
  <si>
    <t>SUM</t>
  </si>
  <si>
    <t>Table 6. Online learning</t>
  </si>
  <si>
    <t>Table 7. Blended Learning</t>
  </si>
  <si>
    <t>Table 5. In-class technology integration</t>
  </si>
  <si>
    <t>Technology Application in Teaching and Learning</t>
  </si>
  <si>
    <t>“meta-analysis”</t>
  </si>
  <si>
    <t>R  (Version 3.2.0; R Core Team, 2015), and the “rma.mv” function of the metafor package (Viechtbauer, 2010)</t>
  </si>
  <si>
    <t>(1) Helpful meta study on (not) finding moderating effects of gender in meta-analyses.</t>
  </si>
  <si>
    <t>(1) there was no publication bias reporting.</t>
  </si>
  <si>
    <t>English and Portuguese</t>
  </si>
  <si>
    <t>(1) for the literature search in Google Scholar, the authors used the Publish or Perish software (Harzing, 2010)</t>
  </si>
  <si>
    <t xml:space="preserve"> R software's Lavaan package (Rosseel, 2012) </t>
  </si>
  <si>
    <t>Department of Management, University of Toronto Scarborough, Toronto, ON M1C 1A4, Canada</t>
  </si>
  <si>
    <t>above 0.70</t>
  </si>
  <si>
    <t>(1) numbe rof included primary studies: The number of 491 primary studies was calculated by us form the five included meta-analyses. Four of the meta-analyses had a total 278, one mentions 213 “programs”, which we coded as included studies. (2) Number of participatns: we did not calculate a number, because number of participants could only be determined for two out of the five meta-analyses (4470 + 270,034).</t>
  </si>
  <si>
    <t>(1) double coding percent: we calculated this by 39 out of studies 286.</t>
  </si>
  <si>
    <t>MASEM</t>
  </si>
  <si>
    <t> </t>
  </si>
  <si>
    <t>added column</t>
  </si>
  <si>
    <t>any participants (employees, university students, general population samples, children, and other subgroups)</t>
  </si>
  <si>
    <t>residual standard deviation of corrected correlations (SDρ) and residual variance in meta-regressions</t>
  </si>
  <si>
    <t>psychmeta package (Version 2.3.4; Dahlke &amp; Wiernik, 2018) in R (Version 3.5.3; R Core Team, 2019)</t>
  </si>
  <si>
    <t>Psychology, Clinical;Criminology &amp; Penology;Family Studies</t>
  </si>
  <si>
    <t>Psychology;Psychology, Multidisciplinary</t>
  </si>
  <si>
    <t>Department of Criminology, Indiana University of Pennsylvania</t>
  </si>
  <si>
    <t>Meta-analysis', ‘quantitative review’, and ‘systematic review’</t>
  </si>
  <si>
    <t>phi coefficients</t>
  </si>
  <si>
    <t>SPSS (Wells, 2009)</t>
  </si>
  <si>
    <t>The University of Arizona</t>
  </si>
  <si>
    <t>individuals undergoing various medical, surgical, or psychological interventions</t>
  </si>
  <si>
    <t>"meta-analysis.tw."</t>
  </si>
  <si>
    <t>Department of Psychology, Normal College, Qingdao University, Qingdao, China</t>
  </si>
  <si>
    <t xml:space="preserve"> (meta-analysis)</t>
  </si>
  <si>
    <t>intra-class correlation (ICC)</t>
  </si>
  <si>
    <t>0.95​</t>
  </si>
  <si>
    <t>CMA 2.0 (Comprehensive Meta-Analysis software)</t>
  </si>
  <si>
    <t>metaanaly*</t>
  </si>
  <si>
    <t>participants included community and clinical populations, men, women, mixed-gender groups, adolescents, adults, and individuals with psychotic illnesses</t>
  </si>
  <si>
    <t>87.5% agreement; κ = 0.871</t>
  </si>
  <si>
    <t>intercoder agreement and Cohen’s kappa (κ)</t>
  </si>
  <si>
    <t>random-effects model and mixed-effects model</t>
  </si>
  <si>
    <t>R version 3.0.2 using the metafor package (Viechtbauer, 2010)</t>
  </si>
  <si>
    <t>Q and I² statistics</t>
  </si>
  <si>
    <t>multivariate meta-regression</t>
  </si>
  <si>
    <t>Egger’s test</t>
  </si>
  <si>
    <t>Department of Applied Psychology: Health, Development, Enhancement and Intervention, Faculty of Psychology, University of Vienna</t>
  </si>
  <si>
    <t>Austria</t>
  </si>
  <si>
    <t xml:space="preserve">Excel-based spreadsheet (StatsDirect Statistical Software, version 2.2.5, Cheshire, UK) </t>
  </si>
  <si>
    <t>Department of Psychiatry, Yale University School of Medicine</t>
  </si>
  <si>
    <t>correlation coefficients</t>
  </si>
  <si>
    <t>(1) the number of citations was taken from google scholar as of 6 October, 2024.</t>
  </si>
  <si>
    <t>Bayburt University</t>
  </si>
  <si>
    <t>Türkiye (Turkey)</t>
  </si>
  <si>
    <t>"metaanalysis or meta-analytic"</t>
  </si>
  <si>
    <t>funnel plot graph, classic fail-safe N, Egger's test, and Duval &amp; Tweedie, trim and fill (DTTF)</t>
  </si>
  <si>
    <t>Q statistic and I² test</t>
  </si>
  <si>
    <t>Neurosciences;Psychology, Experimental</t>
  </si>
  <si>
    <t>Cognitive Neuroscience Unit, School of Psychology, Deakin University</t>
  </si>
  <si>
    <t>(TI meta-analys*) OR (TI metaanalys*) OR (TI meta analys*) OR (TI quantitative review*) OR (TI systematic review*) OR (AB meta-analysis) OR (AB metaanalysis) OR (AB meta analysis) OR (AB quantitative review*) OR (AB systematic review*)</t>
  </si>
  <si>
    <t>Hedges’ g (effect sizes were converted from Cohen’s d to Hedges’ g)</t>
  </si>
  <si>
    <t>mixed-effects subgroup analysis</t>
  </si>
  <si>
    <t>Comprehensive meta-Analysis software (Borenstein, Hedges, Higgins, &amp; Rothstein, 2005)</t>
  </si>
  <si>
    <t>Texas A&amp;M University, United States</t>
  </si>
  <si>
    <t>Health Care Sciences &amp; Services;Medical Informatics</t>
  </si>
  <si>
    <t>Department of Physical Education, Shenzhen University</t>
  </si>
  <si>
    <t>Stroke patients undergoing rehabilitation</t>
  </si>
  <si>
    <t>English and Chinese</t>
  </si>
  <si>
    <t>(meta[Title/Abstract]) OR (meta-analysis[Title/Abstract])</t>
  </si>
  <si>
    <t>intraclass correlation coefficient (ICC)</t>
  </si>
  <si>
    <t>ICC = 0.96 (95% CI 0.93-0.98, P&lt;.001)</t>
  </si>
  <si>
    <t>AMSTAR (Assessment of Multiple Systematic Reviews) (Burda, Holmer, &amp; Norris, 2016)</t>
  </si>
  <si>
    <t>as an exclusion criterion</t>
  </si>
  <si>
    <t>Egger test</t>
  </si>
  <si>
    <t>Comprehensive Meta-Analysis (CMA) software 2.0</t>
  </si>
  <si>
    <t>Psychology, Clinical;Psychiatry</t>
  </si>
  <si>
    <t>Department of Psychology, University of North Carolina at Greensboro, Greensboro, NC, USA</t>
  </si>
  <si>
    <t>“meta-ana*,” “systematic review,” and “quantitative review.”</t>
  </si>
  <si>
    <t>above 0.86</t>
  </si>
  <si>
    <t>University of Trier, Department of Educational Psychology, Trier, Germany</t>
  </si>
  <si>
    <t>patients with various health conditions, including chronic diseases such as diabetes, mental disorders, circulatory and respiratory diseases.</t>
  </si>
  <si>
    <t>(‘meta-analysis’)</t>
  </si>
  <si>
    <t>Abstract screening agreement: 84%. Full-text screening agreement: 81%.</t>
  </si>
  <si>
    <t>ProVar (proportion of variance attributable to second-order sampling error)</t>
  </si>
  <si>
    <t xml:space="preserve">R using the psychmeta package (Dahlke &amp; Wiernik, 2020) and metafor package (Viechtbauer, 2010) </t>
  </si>
  <si>
    <t>Northwestern University</t>
  </si>
  <si>
    <t>EG</t>
  </si>
  <si>
    <t>CG</t>
  </si>
  <si>
    <t>Total</t>
  </si>
  <si>
    <t>Yang et al., 2013</t>
  </si>
  <si>
    <t>Laver et al., 2017</t>
  </si>
  <si>
    <t>Maier et al., 2019</t>
  </si>
  <si>
    <t>Zhong et al., 2019</t>
  </si>
  <si>
    <t>Domínguez-Téllez et al., 2020</t>
  </si>
  <si>
    <t>Mekbib et al., 2020</t>
  </si>
  <si>
    <t>Gibbons et al., 2016</t>
  </si>
  <si>
    <t>Iruthayarajah et al., 2017</t>
  </si>
  <si>
    <t>Mohammadi et al., 2019</t>
  </si>
  <si>
    <t>Liang et al., 2020</t>
  </si>
  <si>
    <t>AMSTAR (Shea et al., 2009)</t>
  </si>
  <si>
    <t>Comprehensive Meta-Analysis (CMA) software (Borenstein, Hedges, Higgins, &amp; Rothstein, 2006)</t>
  </si>
  <si>
    <t>Q statistic and I² statistic</t>
  </si>
  <si>
    <t>funnel plots and trim-and-fill analyses</t>
  </si>
  <si>
    <t>N</t>
  </si>
  <si>
    <t>A</t>
  </si>
  <si>
    <t>tot</t>
  </si>
  <si>
    <t>C</t>
  </si>
  <si>
    <t>ES</t>
  </si>
  <si>
    <t>O</t>
  </si>
  <si>
    <t>Ex</t>
  </si>
  <si>
    <t>meta-analy*</t>
  </si>
  <si>
    <t>working adults across various occupations</t>
  </si>
  <si>
    <t>true variance estimates (r²)</t>
  </si>
  <si>
    <t>individuals involved in intelligence research</t>
  </si>
  <si>
    <t>“meta-analy∗ ”</t>
  </si>
  <si>
    <t>random-effects model and fixed-effects model</t>
  </si>
  <si>
    <t>precision-weighted models</t>
  </si>
  <si>
    <t>I² statistics and maximum differences in leave-one-out analyses</t>
  </si>
  <si>
    <t>software R (R Core Team, 2017) metafor (Viechtbauer, 2010), puniform (van Aert, 2018), and pwr (Champely, 2018)</t>
  </si>
  <si>
    <t>It was interesting that they used multiple publication bias methods</t>
  </si>
  <si>
    <t>not on WOS</t>
  </si>
  <si>
    <t>Osaka University, Graduate School of Human Sciences, Suita, JP</t>
  </si>
  <si>
    <t>Japan</t>
  </si>
  <si>
    <t>for sensitivity analyses</t>
  </si>
  <si>
    <t>metafor R package (Viechtbauer, 2010)</t>
  </si>
  <si>
    <t>τ² (random-effects variance) and Q statistic</t>
  </si>
  <si>
    <t>PET-PEESE, trim-and-fill analysis, and influential case analysis</t>
  </si>
  <si>
    <t>Arizona State University</t>
  </si>
  <si>
    <t xml:space="preserve">racial/ethnic groups in the United States, including white, african american, asian american, latino, and american indian. </t>
  </si>
  <si>
    <t>quality checklist adapted from Higgins et al. (2013)</t>
  </si>
  <si>
    <t>selecting one effect size per meta-analysis and averaging multiple reported effect sizes within meta-analyses</t>
  </si>
  <si>
    <t>I² and τ² statistics</t>
  </si>
  <si>
    <t>University of North Carolina at Greensboro</t>
  </si>
  <si>
    <t>(“meta-ana*”)</t>
  </si>
  <si>
    <t>Type of health outcome: κ = 0.92 and Meta-analysis quality: κ = 0.83</t>
  </si>
  <si>
    <t>unweighted aggregation approach</t>
  </si>
  <si>
    <t>University of Luxembourg</t>
  </si>
  <si>
    <t>Luxembourg</t>
  </si>
  <si>
    <t>prekindergarten and K-12 students</t>
  </si>
  <si>
    <t>(systematic review or meta analysis).md. Or Meta Analysis/ or systematic review/ or  (metaanaly* or (meta adj (analy* or synthes*)) or ((research or evidence) adj3 synthes*)).tw.</t>
  </si>
  <si>
    <t>Cohen’s κ = .77 for the initial screening, and Cohen’s κ = .72 for the full-text screening</t>
  </si>
  <si>
    <t>Covidence (www.covidence.org)</t>
  </si>
  <si>
    <t>correlational, experimental, longitudinal, interventional</t>
  </si>
  <si>
    <t>AMSTAR rating scale (Shea et al., 2007)</t>
  </si>
  <si>
    <t>three-level random-effects model with correlated effects.</t>
  </si>
  <si>
    <t>R packages 'metafor' (Viechtbauer, 2010) and 'dmetar' (Harrer et al., 2019)</t>
  </si>
  <si>
    <t>Cochran's Q and I² statistic</t>
  </si>
  <si>
    <t>three-level multilevel meta-analytic model</t>
  </si>
  <si>
    <t>Saeri et al (2022)</t>
  </si>
  <si>
    <t>Bergquist, M., Thiel, M., Goldberg, M. H., &amp; van der Linden, S. (2023). Field interventions for climate change mitigation behaviors: A second-order meta-analysis. Proceedings of the National Academy of Sciences of the United States of America, 120(13), e2214851120. https://doi.org/10.1073/pnas.2214851120</t>
  </si>
  <si>
    <t>VOLUNTAS</t>
  </si>
  <si>
    <t>Social Issues</t>
  </si>
  <si>
    <t>University of Gothenburg, Sweden</t>
  </si>
  <si>
    <t>(“Meta-analysis” OR “Research synthesis” OR “Quantitative review” OR “Meta-analytic structural equation modelling” OR “Meta-analytic SEM” OR “MASEM” OR “Meta-analytic path analysis” OR “Meta-regression” OR “Cumulative meta-analysis” OR “Mega-analysis” OR “Bayesian meta analysis” OR “Second order meta-analysis” OR “Secondary use of meta analytic data”</t>
  </si>
  <si>
    <t>Cohen's kappa</t>
  </si>
  <si>
    <t>P-curve analysis, PET-PEESE and selection models, WAAP-WLS model</t>
  </si>
  <si>
    <t>ProportionVar statistic</t>
  </si>
  <si>
    <t>R Studio package “psychmeta” and its function “ma_d_order2” (Dahlke &amp; Wiernik, 2018; Viechtbauer, 2010) and Jeffreys's Amazing Statistics Program (JASP)</t>
  </si>
  <si>
    <t>P-Curve Analysis (Figures A and B): Includes a p-curve and a distributional p-curve for 326 studies to assess selective reporting and publication bias., Figures on Intervention Types (Figures D to F6): Distribution of interventions and descriptive statistics for each intervention type.</t>
  </si>
  <si>
    <t>Saeri, A. K., Slattery, P., Lee, J., Houlden, T., Farr, N., Gelber, R. L., Stone, J., Huuskes, L., Timmons, S., Windle, K., Spajic, L., Freeman, L., Moss, D., Behar, J., Schubert, S., Grundy, E. A. C., &amp; Zorker, M. (2022). What works to increase charitable donations? A meta-review with meta-meta-analysis. Voluntas. https://doi.org/10.1007/s11266-022-00499-y</t>
  </si>
  <si>
    <t>BehaviourWorks Australia, Monash Sustainable Development Institute, Monash University</t>
  </si>
  <si>
    <t>individuals who engaged in studies on charitable giving, including both experimental and real-world donation contexts</t>
  </si>
  <si>
    <t>(meta-anal* OR meta-regress* OR "systematic review" OR "rapid review" OR "scoping review" OR "State-of-the-art review" OR "Systematic search and review" OR "Systematized review" OR "Mapping review" OR "Systematic map")</t>
  </si>
  <si>
    <t>correlations (r)</t>
  </si>
  <si>
    <t>AMSTAR 2 (Shea et al., 2017) checklist for review quality and the GRADE  (Guyatt et al., 2011; Higgins et al., 2019; Hultcrantz et al., 2017) approach for assessing the quality of evidence</t>
  </si>
  <si>
    <t>metaSEM package (Cheung, 2014) and msemtools packages (Conigrave, 2019) in R</t>
  </si>
  <si>
    <t>for each meta-analysis, they calculated one average effect sizes if multiple effect sizes due to multiple outcomes reported. They only used the ES of the experimental research groups if both the experemtal and the control group were reported.</t>
  </si>
  <si>
    <t>funnel plots, PET-PEESE</t>
  </si>
  <si>
    <t>(1) n: They only report k = 409 and n = 22,500 before removing one (supposidly very comprehensive) article. Thus we did not report any n as this might be drastically different to the results.</t>
  </si>
  <si>
    <t>Bergquist et al. (2023)</t>
  </si>
  <si>
    <t>to compare results from lab vs. field reserach in organisational science.</t>
  </si>
  <si>
    <t>consumers (84%), companies (11%), and students (4%)</t>
  </si>
  <si>
    <t>children and adolescents (≤18 years) diagnosed with ADHD based on DSM or ICD criteria</t>
  </si>
  <si>
    <t>general population across various real-world field settings, focusing on behaviors such as conservation, consumption, recycling, transportation, and littering.</t>
  </si>
  <si>
    <t>a diverse pool of participants, including clinical and nonclinical populations, covering various age groups (e.g., adolescents, adults)​</t>
  </si>
  <si>
    <t>participants include typically developing children, children with learning disabilities, healthy adults, and older adults with mild cognitive impairment.</t>
  </si>
  <si>
    <t>participants varied widely but primarily included individuals from clinical and non-clinical samples, spanning adults, children, and older adults in randomized controlled trials examining meditation's effect on mental, physical, and behavioral health​</t>
  </si>
  <si>
    <t>juvenile offenders in correctional intervention programs</t>
  </si>
  <si>
    <t>school-age children (grades K-12)</t>
  </si>
  <si>
    <t>participants included individuals with Parkinson’s disease, specific language impairment (SLI), dyslexia, autism spectrum disorder (ASD), developmental coordination disorder (DCD), and schizophrenia</t>
  </si>
  <si>
    <t>k-12 students to university students (and mixed)</t>
  </si>
  <si>
    <t>k–12 students</t>
  </si>
  <si>
    <t>k-12 and postsecondary students in regular classroms within formal education</t>
  </si>
  <si>
    <t>k-12 schools</t>
  </si>
  <si>
    <t>k-12 schools and students</t>
  </si>
  <si>
    <t>k-12 and higher education students</t>
  </si>
  <si>
    <t>experimental designs</t>
  </si>
  <si>
    <t>randomized Controlled Trials (RCTs)</t>
  </si>
  <si>
    <t>randomized Controlled Trials (RCTs) and some Uncontrolled Trials</t>
  </si>
  <si>
    <t>randomized Controlled Trials (RCT) and uncontrolled trials</t>
  </si>
  <si>
    <t xml:space="preserve">inter-rater agreement (κ) </t>
  </si>
  <si>
    <t>inter-rater agreement and Cohen's kappa</t>
  </si>
  <si>
    <t>exclusion rule and uniqueness factor</t>
  </si>
  <si>
    <t>uniqueness factor</t>
  </si>
  <si>
    <t>trials appearing in multiple meta-analyses were included only in the meta-analysis with the fewest number of studies evaluated</t>
  </si>
  <si>
    <t xml:space="preserve">given reviews each assessed different design principles, there was no overlap between reviews and therefore no correction required for overlap (e.g., Hennessy &amp; Johnson, 2020). </t>
  </si>
  <si>
    <t>it was very small</t>
  </si>
  <si>
    <t>there was none</t>
  </si>
  <si>
    <t>the meta-analysis that was more "comprehensive" or "up-to-date" was included. Studies with an overlap of more than 25% were excluded</t>
  </si>
  <si>
    <t>AMSTAR version 2 (Shea et al., 2017)</t>
  </si>
  <si>
    <t>quality was represented as both overall quality scores and individual items.</t>
  </si>
  <si>
    <t>in the discussion</t>
  </si>
  <si>
    <t>the authors performed sensitivity analyses based on the adequacy of sequence generation and allocation concealment to assess their impact on treatment effect size estimates​</t>
  </si>
  <si>
    <t>the quality scores were used as moderators and included in sensitivity analyses</t>
  </si>
  <si>
    <t>how effect sizes were statistically aggregated across meta-analyses was not reported. They only reported aggregated effect sizes in the abstract, but not in the respective study (study 1).</t>
  </si>
  <si>
    <t>they re-computed the sample size-weighted within- and between-study variances in gender proportion for eaxh primary meta-analysis and then conducted moderator analyses.</t>
  </si>
  <si>
    <t>they combined the raw means of the studies. Unsure whether they weighted there effect sizes.</t>
  </si>
  <si>
    <t>they converted all effect sizes into Hedges' g and aggregated them by weighting them with the SE.</t>
  </si>
  <si>
    <t>unclear, but it is likely that they converted all ES to Cohen's d and probably weighted them by sample size.</t>
  </si>
  <si>
    <t>two independent metaanalyses using REM with restricted ML as estimator. Effect sizes were weighted by the adjusted variance estimates accounting for quality ratings and study sample sizes (i.e., total N) of primary studies.</t>
  </si>
  <si>
    <t>they did not harmonize the effect sizes and aggregated Glass's Delta, Cohen's d, and Hedges's g values with the inverse of their standard errors.</t>
  </si>
  <si>
    <t>the effect sizes (r) were aggregated using sample-size-weighted means. The authors also calculated the standard deviation of the observed correlation (SDr) for lab and field studies separately​. When multiple effect sizes were provided for the same relationship (e.g., lab and field effects or across subgroups), the authors integrated these into a single effect size for each relationship to ensure comparability​</t>
  </si>
  <si>
    <t xml:space="preserve">the authors used WLS regression to combine effect sizes, weighting them by their precision (inverse of squared standard errors). They used standardized mean differences (Cohen's d) as the measure of effect size across studies. </t>
  </si>
  <si>
    <t>a second-order meta-analysis and second-order meta-regression were used</t>
  </si>
  <si>
    <t>random-effects model for first-order meta-analyses and second-order Schmidt-Hunter meta-analysis model for second-order meta-analyses.</t>
  </si>
  <si>
    <t>by selecting one effect size per meta-analysis for moderator analyses</t>
  </si>
  <si>
    <r>
      <t>if a meta-analysis stated multiple effect sizes for one outcome, these estimates were aggregated into a single effect size.</t>
    </r>
    <r>
      <rPr>
        <strike/>
        <sz val="12"/>
        <color theme="1"/>
        <rFont val="Arial"/>
        <family val="2"/>
      </rPr>
      <t xml:space="preserve"> </t>
    </r>
  </si>
  <si>
    <t>multiple effect sizes within a meta-analysis were aggregated into a single effect size using a weighted average based on the number of primary studies (𝑘) contributing to each estimate. For moderator analyses, estimates were not aggregated if they represented different levels of a moderator variable.</t>
  </si>
  <si>
    <t>selecting a single effect size per study</t>
  </si>
  <si>
    <t>averaging within meta-analyses</t>
  </si>
  <si>
    <t>multiple effect sizes from the same relationship were integrated into a single effect size to standardize data for second-order meta-analyses​</t>
  </si>
  <si>
    <t>two-step aggregation</t>
  </si>
  <si>
    <t xml:space="preserve"> trim-and-fill method, funnel plots, Fail-Safe N tests</t>
  </si>
  <si>
    <t>the authors addressed publication bias by investigating several patterns of bias across the meta-analyses, including small-study effects, decline effects, and citation bias. These were analyzed using meta-regressions and meta-meta-regressions.</t>
  </si>
  <si>
    <t>trim-and-fill, Begg and Mazumdar’s rank correlation, Egger’s regression approach, Excess significance testing, p-uniform, p-curve, Selection model approach, PET-PEESE</t>
  </si>
  <si>
    <t>classic fail-safe N and Begg’s test</t>
  </si>
  <si>
    <t>mixed-effects meta-regression and subgroup analyses</t>
  </si>
  <si>
    <t>percentage Sampling Error Variance/ Total Variance</t>
  </si>
  <si>
    <t>subgroup analyses (mixed-effects models)</t>
  </si>
  <si>
    <t>subgroup analyses and mixed-effects meta-regression</t>
  </si>
  <si>
    <t>(1) Sensistivity analysis through robustness of inlcuding pure K-12 samples vs. both K-12 and non-K-12 students</t>
  </si>
  <si>
    <t>(1) Sensitivity analysis: robustness of including meta-analyses with 50% vs. 25% overlap</t>
  </si>
  <si>
    <t>(1) No on open data because it is only as a PDF (2)  Grey literature included: journal articles, reports and dissertations/theses, but not books, chapters or conference proceedings were included, (2)  SOMA results was included in robustness table</t>
  </si>
  <si>
    <t>meta-regression analysis figures (Figures 3 and 4) to show trends in publication date and coverage</t>
  </si>
  <si>
    <t>histogram of between-study variances in gender proportion (Figure 2), which visually highlights the low variance issue. Flow diagram of the identification and screening process for meta-analyses (Figure 1), which explains the inclusion criteria.</t>
  </si>
  <si>
    <t>figure 1, which visually shows the frequency distribution of meta-analytic effect sizes (especially since it includes so many analyses)</t>
  </si>
  <si>
    <t>bar chart summarizing methodological quality indicators (Figure 4), Fireplot of the Median Statistical Power of all Included Meta-Analyses (figure 5)</t>
  </si>
  <si>
    <t>figure 4 - 5: Regression of time on Fisher’s Z for overall EI, mixed EI, and ability EI. Figure 6: Line chart showing changes in the number of studies over time</t>
  </si>
  <si>
    <t>the paper presents an evidence map (Figure 3) and a graphical representation of risk of bias (ROBIS results) (Figure 2)​</t>
  </si>
  <si>
    <t>the figures showing distributions of mean effect sizes (Figures 1–4) are helpful for understanding the variability and general trends in the meta-analytic data</t>
  </si>
  <si>
    <t>figure 1, a lightning plot visualizing cumulative effect size changes over time, illustrating increases, declines, and Proteus effects relative to initial study effects. Figures 1 and 3 showing histogram plots that represent the average power of primary studies across meta-analyses</t>
  </si>
  <si>
    <t>the stem-and-leaf plot (Fig. 2) was a unique feature, visually showing the variability in effect sizes across meta-analyses</t>
  </si>
  <si>
    <t>figures 5.1, 5.2, and 5.3 display stem-and-leaf plots for total mean effect sizes across various categories, providing a clear visualization of the distribution of effect sizes and allowing for easy identification of patterns. Also There is use of bar charts. These bar charts provide a clear visual summary of the handling of outliers and the topics discussed across the meta-analyses included in the study.</t>
  </si>
  <si>
    <t>figure 3: A diagram visualizing the aggregation process for overlapping meta-analyses. Figure 4: A stem-and-leaf plot of the multiple R values from the included meta-analyses</t>
  </si>
  <si>
    <t>the authors provided a scatterplot to illustrate the relationship between lab and field effect sizes.</t>
  </si>
  <si>
    <t>fail-safe N visualizations?Subgroup analyses figures?</t>
  </si>
  <si>
    <t>the variation across studies in factors such as sample size, types of ICT/CAI employed, and design of the study, however, make it difficult to reach clear conclusions about the overall effectiveness of these literacy-based ICT/CAIs</t>
  </si>
  <si>
    <t>the study acknowledges several methodological limitations. First, the correlations used in the analysis are uncorrected for measurement error, potentially leading to an underestimation of the true relationships—such as the effect size for positive affect, which was found to be larger when corrected for measurement reliability. Second, the authors do not account for potential overlap between studies included in different meta-analyses, although they believe this overlap is minimal due to the distinct fields involved. Additionally, the availability of only one meta-analysis in some areas limits the ability to generalize findings.</t>
  </si>
  <si>
    <t>standardized Mean Differences (Cohen's d)</t>
  </si>
  <si>
    <t>second-order sampling error</t>
  </si>
  <si>
    <t>(1) The tables in the paper present the number of primary studies and participants divided into groups. However, it is unclear whether there is any overlap between these groups or to what extent such overlap may occur., (2) It is unclear whether the first author reviewed all the extracted data or only a subset. We note "not reported" because the paper does not specify whether double coding was conducted, leaving uncertainty about the reliability verification process.</t>
  </si>
  <si>
    <t>(1) n was calculated from Table 2 (2) there was no systematic search, as this is a reanalysis of 3 prior systematic reviews</t>
  </si>
  <si>
    <t>(1) k and n: The rules we used to calculate n were quite conservative: If it was only estimated, we put the estimate. If it was written as a number larger then x, we put x. If it was an unspecified number, we put 0. (2) Tables 5, 6, and 7 present data across various years; however, they include only the 118 effect sizes rather than all 131 meta-analyses. The paper specifies that the studies are from the year 2000 onward, ensuring there are none before 2000. Additionally, since the review was conducted in 2022, there are no studies published after 2021. (3)  Double screening was done on abstract and full-text screening - Abstract was screened: 8.34% (60 out of 719 studies).</t>
  </si>
  <si>
    <t>(1) The original values indicate that approximately 20% of the studies were screened during the initial phase and 31% during the full-text screening. To provide a more balanced estimate, we have averaged these values, resulting in an overall screening rate of 25.5%.</t>
  </si>
  <si>
    <t>(1) For the screening the original values show that 25% of titles and abstracts were screened, while 15.45% of full texts (49 out of 317) were reviewed. To provide a more comprehensive estimate, we have averaged these values, resulting in an overall screening rate of 20.23%.</t>
  </si>
  <si>
    <t>(1) We have "yes" on open data, however it is unsure, whether appendix B has all the important information in it, (2) Sensitivity analysis: validation study to check for differences between SOMA with overlapping meta-analyses vs. with primary studies, (3) The original values indicate that 100% of titles and abstracts were screened, while 9% of full texts were reviewed. To provide a more balanced estimate, we have averaged these values, resulting in an overall screening rate of 54.5%.</t>
  </si>
  <si>
    <t>(1) publication bias (The reliance on published studies can skew results if unpublished studies with different findings are excluded), (2) Lack of detailed contextual information (Many primary studies fail to provide sufficient contextual or demographic data, limiting the depth of analysis), (3) Inconsistent methodological reporting (Variability in how methods are reported across studies can make it difficult to compare or synthesize findings effectively.), (4) Challenges with replication (Due to incomplete documentation, reproducing the same analysis is often difficult, limiting the verification of results.)</t>
  </si>
  <si>
    <t>(1) the reliance on correlational data, (2) potential for publication bias, (3) variability in effect sizes</t>
  </si>
  <si>
    <t>(1) additional moderators to better understand variability in effect sizes</t>
  </si>
  <si>
    <t>pub_bias</t>
  </si>
  <si>
    <t>random-effects model and Bare-bones Schmidt-Hunter model</t>
  </si>
  <si>
    <t>weighted Least Squares (WLS)</t>
  </si>
  <si>
    <t>unweighted model</t>
  </si>
  <si>
    <t>no statistical modeling approach (e.g., random-effects or fixed-effects models) was used, as effect sizes were not aggregated across meta-analyses</t>
  </si>
  <si>
    <t>multivariate random-effects meta-analysis with robust variance estimation (RVE)</t>
  </si>
  <si>
    <t>robust Variance Estimation (RVE) and samplewise-adjusted corrections</t>
  </si>
  <si>
    <t>by selecting one effect size per meta-analysis</t>
  </si>
  <si>
    <t>figure 1 represents the different theoretical frameworks that are tested with the MASEM approach.</t>
  </si>
  <si>
    <t>figure 2 is a bar chart and a meta-regression analysis in Appendix A</t>
  </si>
  <si>
    <t>Epi Info Version 6.02, SPSSx (version 4.1) for the mainframe, and SPSS® for Windows</t>
  </si>
  <si>
    <t>credibility Intervals (CRs) and Confidence Intervals (CIs)</t>
  </si>
  <si>
    <t>effecteffect size Econverted to Hedges' g , and then aggregated and weighted by the inverse of the sampleing variance.</t>
  </si>
  <si>
    <t>effect size were aggregated using a weights form the inverse of the sampling variances in a random-effects model, incorporating Fisher’s Z transformation for standardization, to aggregate effect sizes while accounting for heterogeneity across studies.</t>
  </si>
  <si>
    <t>Pearson’s r for correlational studies and converted other effect sizes (e.g., Hedges’ g) from intervention studies into correlations (r) for comparability.</t>
  </si>
  <si>
    <t>methodological Quality Instrument for Meta-Analysis (MQIM)</t>
  </si>
  <si>
    <t>revised Assessment of Multiple Systematic Reviews (R-AMSTAR) scale  (Kung et al., 2010)</t>
  </si>
  <si>
    <r>
      <t>meta-analysis Methodological Reporting Quality Guide (MMRQG)</t>
    </r>
    <r>
      <rPr>
        <b/>
        <sz val="12"/>
        <color theme="1"/>
        <rFont val="Arial"/>
        <family val="2"/>
      </rPr>
      <t xml:space="preserve"> </t>
    </r>
    <r>
      <rPr>
        <sz val="12"/>
        <color theme="1"/>
        <rFont val="Arial"/>
        <family val="2"/>
      </rPr>
      <t xml:space="preserve">(Bernard et al., 2018; Tamim et al., 2021) </t>
    </r>
  </si>
  <si>
    <t>AMSTAR-A Measurement Tool to Assess systematic Reviews; Shea et al., 2009</t>
  </si>
  <si>
    <t>assessment of Multiple Systematic Reviews questionnaire (AMSTAR-2; Shea et al., 2017)</t>
  </si>
  <si>
    <t>meta-analysis research that are current and comprehensive are preferred after determining that they are overlapping. Exclusion rule was used</t>
  </si>
  <si>
    <t xml:space="preserve"> (1) For open data correlation matrices are said to be in the web appendix, which was not findable, (2) Sensitivity analysis was done through robustness, (3) No overview table of studies, but table 2+3 give a great overview, but not for individual studies, (3) For the screening the original values indicate that 100% was used for assigning effect sizes to subject areas, while 25% was applied to all other variables. To provide a more balanced estimate, we have averaged these values, resulting in an overall rate of 62.5%.</t>
  </si>
  <si>
    <t xml:space="preserve">(1) Unclear whether only university students were involved. (2) while they did exclude languages other than english, the authors ended up including studies in Chinese, English, and English + Turkish, (3) ES multiplicity was not handled (only discuss it as an issue in first-order meta-analyses, but not in SOMAs), (4)  Sensitivity analysis: validation study to check for differences between SOMA with overlapping meta-analyses vs. with primary studies), (5) The original values indicate that 33.33% was applied for study information and 50% for quality rating. To provide a more comprehensive estimate, we have averaged these values, resulting in an overall rate of 41.67%. </t>
  </si>
  <si>
    <t>Hedges' g, Standardized mean difference (SMD)</t>
  </si>
  <si>
    <t>Cohen's d, Hedges' g, Fisher’s z, and correlations (r) (converted to Cohen’s d for consistency)</t>
  </si>
  <si>
    <t>Cohen's d, Hedges's g, odds ratios, Pearson’s r</t>
  </si>
  <si>
    <t>continuous outcomes: Weighted mean difference (WMD), standardized weighted mean difference (SMD, equivalent to Cohen’s d). Dichotomous outcomes: Hazard ratio (HR), Odds ratio (OR), Rate difference (RD or ARR), Risk ratio (RR).</t>
  </si>
  <si>
    <t>mean standardized differences (i.e., Hedges’ g)</t>
  </si>
  <si>
    <t>correlation coefficients (converted to Pearson’s r if standardized mean differences were reported)</t>
  </si>
  <si>
    <t>Pearson’s r, standardized mean differences (e.g Cohen’s d)</t>
  </si>
  <si>
    <t>standardized mean differences (SMD) (Cohen’s d or Hedges’ g), z-transformed correlations (r)</t>
  </si>
  <si>
    <t>odds ratios (OR) for binary outcomes, Standardized mean differences (SMD) for continuous outcomes</t>
  </si>
  <si>
    <t>correlations (r) (corrected and uncorrected), True variance estimates</t>
  </si>
  <si>
    <t>Cohen's d, Hedges' g, Standardized mean differences (SMD)</t>
  </si>
  <si>
    <t>Cohen's d, Correlations (r), Glass’s Δ, Hedges’s g</t>
  </si>
  <si>
    <t>correlations (r), Hedges’ g (converted to correlations)</t>
  </si>
  <si>
    <t>correlations (r), Hedges’ g, Cohen’s d, β, odds ratios (OR), pooled prevalence, proportion differences.</t>
  </si>
  <si>
    <t>correlations (r), Cohen's d, Hedges' g, and Odds ratios (OR)</t>
  </si>
  <si>
    <t>Cohen’s d, Hedges’ g, and Pearson correlation r</t>
  </si>
  <si>
    <t>correlations (r) (r-class effect sizes), Standardized regression weights, Cohen's d (transformed into correlations)</t>
  </si>
  <si>
    <t>correlations (Pearson’s r) and Cohen’s d (mean differences of independent samples)</t>
  </si>
  <si>
    <t>Cohen’s d, Hedges' g</t>
  </si>
  <si>
    <t>Cohen’s d,  correlations (r), Fisher’s z, Hedges' g, Log odds ratios, Mean differences (independent samples), Odds ratios (OR), Pearson’s r</t>
  </si>
  <si>
    <t>standardized Mean Differences (SMD)</t>
  </si>
  <si>
    <t>Cohen’s d or Hedges’ g, odds ratios, standardized mean difference</t>
  </si>
  <si>
    <t>mean differences (continuous outcomes)</t>
  </si>
  <si>
    <t>correlations (converted to Cohen’s d), Odds ratios (OR), Risk ratios (RR), Standardized mean differences (Cohen’s d)</t>
  </si>
  <si>
    <t xml:space="preserve">Cohen’s d, Correlations (r) (converted to standardized metrics), Standardized differences </t>
  </si>
  <si>
    <t>Cohen's d, Glass's Δ, Hedges' g, Standardized mean differences (SMD)</t>
  </si>
  <si>
    <t>Cohen’s d, Correlations (r), Odds ratios (OR)</t>
  </si>
  <si>
    <t>Cohen’s d, Correlations (r), Glass’s Δ, Hedges’s g</t>
  </si>
  <si>
    <t>Pearson’s correlations ®</t>
  </si>
  <si>
    <t>Cohen’s d, Pearson’s r (r), Fisher’s z, Hedges’ g</t>
  </si>
  <si>
    <t>correlations (r), Standardized mean differences (converted to correlations)</t>
  </si>
  <si>
    <t>correlations (r), Mean differences (Cohen’s d), Sample-size-weighted observed effect sizes (z)</t>
  </si>
  <si>
    <t>correlations (r), Other effect sizes (e.g., z), Standardized mean differences (Cohen’s d)</t>
  </si>
  <si>
    <t>Cohen’s d, Correlations (r), Hedges’ g</t>
  </si>
  <si>
    <t>Cohen's d, Hedges' g</t>
  </si>
  <si>
    <t>pseudo-randomized controlled trials, Randomized controlled trials (RCTs)</t>
  </si>
  <si>
    <t>experiments, quasi-experiments</t>
  </si>
  <si>
    <t>quasi-experiments, Randomized controlled trials (RCTs)</t>
  </si>
  <si>
    <t>covariance-adjusted, static group pretest-posttest, crossover, static group comparison, pretest-adjusted, nonequivalent group, and other pretest-posttest and static group</t>
  </si>
  <si>
    <t>randomized Controlled Trials (RCTs) and other controlled group</t>
  </si>
  <si>
    <t xml:space="preserve"> Trim-and-fill method</t>
  </si>
  <si>
    <t xml:space="preserve"> trim_and_fill</t>
  </si>
  <si>
    <t>a classic fail-safe N test, funnel plot, the Begg and Mazumdar rank correlation (Kendall’s Tau with continuity correction), and Egger’s regression. Duval and Tweedie’s (2000) trim-and-fill method to adjust any possible publication bias</t>
  </si>
  <si>
    <t>Fail-Safe N tests</t>
  </si>
  <si>
    <t>Other publication bias methods</t>
  </si>
  <si>
    <t>eggers_test</t>
  </si>
  <si>
    <t>fail_Safe_N</t>
  </si>
  <si>
    <t>other_pub_bias_method</t>
  </si>
  <si>
    <t>q_stat</t>
  </si>
  <si>
    <t>i_stat</t>
  </si>
  <si>
    <t>intraclass coefficient</t>
  </si>
  <si>
    <t>Other heterogenity method</t>
  </si>
  <si>
    <t>Q-statistics</t>
  </si>
  <si>
    <t>Tau-statistics</t>
  </si>
  <si>
    <t>I-statistics</t>
  </si>
  <si>
    <t>t_stat</t>
  </si>
  <si>
    <t>other_het</t>
  </si>
  <si>
    <t>Correlation (r)</t>
  </si>
  <si>
    <t>Standardized Mean Difference (SMD)</t>
  </si>
  <si>
    <t>es_corr</t>
  </si>
  <si>
    <t>es_hedges</t>
  </si>
  <si>
    <t>es_cohen</t>
  </si>
  <si>
    <t>es_smd</t>
  </si>
  <si>
    <t>Odds Ratio (OR)</t>
  </si>
  <si>
    <t>es_or</t>
  </si>
  <si>
    <t>Other Effect Sizes</t>
  </si>
  <si>
    <t>es_other</t>
  </si>
  <si>
    <t xml:space="preserve">Glass’s Δ </t>
  </si>
  <si>
    <t>es_glass</t>
  </si>
  <si>
    <t>Other study designs</t>
  </si>
  <si>
    <t>Quasi-experiment</t>
  </si>
  <si>
    <t>observational study designs</t>
  </si>
  <si>
    <t>Correlational Designs</t>
  </si>
  <si>
    <t>3. Provided an average effect size or enough information allowing us to compute an effect size of the relation between parental involvement or parental involvement programs and achievement. Studies that did not provide enough information to compute an effect size were excluded.</t>
  </si>
  <si>
    <t>field-based, lab-based, mixed</t>
  </si>
  <si>
    <t>case/control, Cross-sectional</t>
  </si>
  <si>
    <t>cross-sectional, Observational</t>
  </si>
  <si>
    <t>cross-sectional, Longitudinal</t>
  </si>
  <si>
    <t>correlational, Experimental</t>
  </si>
  <si>
    <t>experimental</t>
  </si>
  <si>
    <t>randomized controlled trials (RCTs) and other controlled interventions</t>
  </si>
  <si>
    <t>randomized Controlled Trials (RCTs) and pre-post-test interventions</t>
  </si>
  <si>
    <t>randomized Controlled Trials (RCTs), Quasi-experimental, Observational</t>
  </si>
  <si>
    <t>cross-sectional</t>
  </si>
  <si>
    <t>correlational, Cross-sectional, Longitudinal, Experimental and intervention and Quasi-experimental (e.g., toxicology, behavior genetics)</t>
  </si>
  <si>
    <t>intervention, pre-post and quasi-experimental</t>
  </si>
  <si>
    <t>comparative (i.e., studies comparing the effect of different psychotherapeutic approaches), controlled (i.e., comparing interventions to wait-list, usual care, or placebo)</t>
  </si>
  <si>
    <t>cross-sectional and longitudinal</t>
  </si>
  <si>
    <t>randomized controlled trials (RCTs), quasi-experimental, and one-group pre-and-post</t>
  </si>
  <si>
    <t>cross-sectional and longitudinal, Randomized Controlled Trials (RCTs)</t>
  </si>
  <si>
    <t>experimental, quasi-experimental, correlational, and mixed</t>
  </si>
  <si>
    <t>quasi-experimental and RCTs</t>
  </si>
  <si>
    <t>randomized Controlled Trials (RCTs) and experimental</t>
  </si>
  <si>
    <t>empirical: e.g., experimental (e.g., RCTs), cross-sectional, and longitudinal</t>
  </si>
  <si>
    <t>experimental, case-control, cross-sectional, and longitudinal</t>
  </si>
  <si>
    <t>observational, including cross-sectional, case-control, and cohort</t>
  </si>
  <si>
    <t>cross-sectional data: observational field</t>
  </si>
  <si>
    <t>cross-sectional, case-control/cohort, and longitudinal</t>
  </si>
  <si>
    <t>randomized controlled trials (RCTs) quasi-experimental or observational</t>
  </si>
  <si>
    <t>randomized controlled trials (RCTs) and quasi-experiments, lesser quality inteventions were sometimes included due to practical constraints in the availability of data.</t>
  </si>
  <si>
    <t>the moderator analysis involved testing the relationship between gender composition (as a moderator) and effect size variability by computing and analyzing within- and between-study variances</t>
  </si>
  <si>
    <t>Other moderator analyses</t>
  </si>
  <si>
    <t>mod_subgroup</t>
  </si>
  <si>
    <t>mod_mixed_reg</t>
  </si>
  <si>
    <t>mod_other</t>
  </si>
  <si>
    <t>Random-effects model</t>
  </si>
  <si>
    <t>Fixed-effects model</t>
  </si>
  <si>
    <t>Mixed-effects model</t>
  </si>
  <si>
    <t>Multilevel meta-analysis</t>
  </si>
  <si>
    <t>Meta-regression</t>
  </si>
  <si>
    <t>Second-order meta-analysis</t>
  </si>
  <si>
    <t>second_order_meta</t>
  </si>
  <si>
    <t>meta_regression</t>
  </si>
  <si>
    <t>multilevel_meta</t>
  </si>
  <si>
    <t>mixed_effects</t>
  </si>
  <si>
    <t>fixed_effects</t>
  </si>
  <si>
    <t>random_effects</t>
  </si>
  <si>
    <t>Other statistical approach</t>
  </si>
  <si>
    <t>other_approch</t>
  </si>
  <si>
    <t>jif_2023</t>
  </si>
  <si>
    <t>not in Journal Citation Reports</t>
  </si>
  <si>
    <t>statistical</t>
  </si>
  <si>
    <t>clinical</t>
  </si>
  <si>
    <t>work</t>
  </si>
  <si>
    <t>personality</t>
  </si>
  <si>
    <t>cognitive</t>
  </si>
  <si>
    <t>behavior mitigation</t>
  </si>
  <si>
    <t>RCT</t>
  </si>
  <si>
    <t>Experimental</t>
  </si>
  <si>
    <t>Quasi_Experiment</t>
  </si>
  <si>
    <t>Quantitative</t>
  </si>
  <si>
    <t>Observational</t>
  </si>
  <si>
    <t>Correlational</t>
  </si>
  <si>
    <t>Other_Designs</t>
  </si>
  <si>
    <t>funnel_plots</t>
  </si>
  <si>
    <t>random-effects meta-regression model</t>
  </si>
  <si>
    <t>They just used 3 SRs as the 4th one was missing statistical information (probably no systematic search!). They note that "For example, Torgerson and Zhu (2003) selected only studies with randomized control trials while Slavin et al. (2008, 2009) required a control group but not necessarily random assignment. On the other hand Slavin et al. (2008, 2009) had other specific requirements such as requiring at least 2 teachers and 15 students in each treatment group and excluded studies with measures inherent to the treatment group and not the control group. Slavin et al. (2008, 2009) also allowed for a variety of articles such as dissertations, while Torgerson and Zhu (2003) excluded formats such as editorials, policy documents, non-systematic reviews, nonevaluated interventions and dissertations." (p. 143)</t>
  </si>
  <si>
    <t>"Meta-analyses comparing the impact of these programs on learning, however, have yielded inconsistent findings (Andrews, Freeman, Hou, McGuinn, Robinson, &amp; Zhu, 2007; Slavin, Cheung, Groff, &amp; Lake, 2008; Slavin, Lake, Chambers, Cheung, &amp; Davis, 2009; Torgerson &amp; Zhu, 2003). The present tertiary meta-analytic review re-assesses outcomes presented in three previous meta-analyses. Four moderator variables assessed the impact of the systematic review from which they were retrieved, training and support, implementation fidelity and who delivered the intervention (teacher versus researcher)." (p. 140)</t>
  </si>
  <si>
    <t xml:space="preserve">They call it "tertiary meta-analysis" </t>
  </si>
  <si>
    <t>"In this article, we probe deeper into this literature and the practices that can make or break a meta-analysis in an attempt to arm consumers with the information needed to detect bias in the meta-analyses they read and producers with strategies to avoid bias in the first place." (p. 184), "As a special form of systematic review, meta-analysis has several major goals that go beyond simply reviewing the literature around a given question (Jackson 1980). As a study of the population of primary research studies, one goal is to assess the state of the research literature—how big it is, how much commonality exists among research questions, what is the quality of the primary studies, what demographics it covers, etc. Another goal is to estimate the average effect size in the population (i.e., how well/ poorly does the treatment work compared to a control condition). A related goal is to estimate the variability (i.e., between-study variance) of a distribution of effect sizes in order to judge whether it exceeds what would be expected by chance (i.e., sampling error). These steps would be analogous to calculating the mean and standard deviation of individual outcomes in a primary research study. In cases where excess between study variability exists, a meta-analyst usually goes deeper by examining the effects of coded moderator variables. Moderator variable analysis lends texture, qualification and detail to the overall assessment." (p. 184) and "A second-order meta-analysis is a meta-analysis of meta-analyses that is intended to convey the highest-level information about the relationship between a treatment and a control condition in the population."​ (p. 187)</t>
  </si>
  <si>
    <t>using weighted average effect sizes: "All effect sizes that were originally calculated as Cohen’s d, or some other metric, were converted to Hedges’ g for the sake of consistency... The weighted average fixed and random effects are close but not identical"​ (p. 188)</t>
  </si>
  <si>
    <t>"We argue that a balanced approach should be used by meta-analysts; one that considers the validity of the design, the psychometric quality of assessment tools, the appropriateness and precision of statistical procedures, as well as the representativeness and generalizability of the findings."​ (p. 197)</t>
  </si>
  <si>
    <t xml:space="preserve">(1) publication bias: "Eight of 13 of them either did not acknowledge it at all or attempt to detect its presence and assess its magnitude."​ (p. 199), (2) Inadequate literature searches: "Three meta-analyses in our collection appear not to meet requirements for sufficient methodological quality when it comes to the stage of searching the literature." (p. 195), (3) Data independence issues: "It is a mistake to average, say, achievement, attitudes, and various behavioral measures into one aggregate effect size, if for no other reason because the meaning of such a composite of various dependent measures is obscured." (p. 198), (4) Insufficient study quality evaluation: "Allowing unreliable or questionable data to enter into a meta-analysis can contaminate the analytical stage of the review, potentially rendering its findings biased, or in the worse case, completely untrustworthy." (p. 196-197), (5) Ignoring outliers: "None of the meta-analyses marked with X in Table 4 dealt with outliers (at least, not explicitly judging from the corresponding reports)." (p. 199)
</t>
  </si>
  <si>
    <t>"The second-order meta-analysis approach offers the potential of aggregating data from a growing body of meta-analyses harvested over several years, in the same way that meta-analyses attempt to reach more reliable and generalisable inferences than individual primary studies." (p. 5)</t>
  </si>
  <si>
    <t>"The following inclusion/exclusion criteria were used at all stages of the review: ... Results should be reported aggregated in the form of the overall weighted average effect size (Cohen’s d, Hedges’ g or Pearson’s r), reflecting assessment of the effectiveness of educational technology use in in-class, online or blended learning educational settings. A meta-analysis must implement some form of moderator variable analysis. Only quantitative syntheses (true meta-analyses) were admitted to the final analytical stage. Neither descriptive systematic reviews nor quantitative summaries (i.e., reviews that did not aggregate the overall effect size, though possibly reported effects from individual studies) were retained. Two broad categories of meta-analyses were excluded (though recorded for potential future use): (1) those with special populations — special needs students (e.g., diagnosed with some form of learning disability), and (2) those that compared technology use with some enhancement (typically pedagogy-based, e.g., collaborative learning) in the experimental condition and unmodified use of the same technology in the control condition (we designated those Added Value meta-analyses). Several second-order meta-analyses (mostly on flipped classrooms, as well as our own and Tamim et al., 2011) were also excluded." (p. 17)</t>
  </si>
  <si>
    <t>"...a second-order meta-analysis should not rely on [calculated weights with the inverse of the sampling variance] as there is no way of accounting for potentially disproportionate distribution of large and small (in the number of participants) studies across admitted first-order meta-analyses. Instead, we calculated weights for each effect size extracted from these meta-analyses based on the doubled number of independent effect sizes in every one of them (i.e., the number of independent comparisons, each necessarily involving an experimental and a control condition — hence, increased by a factor of two). We then used the random effects model for the aggregation of individual effect sizes (Borenstein et al., 2009).." (p. 21)</t>
  </si>
  <si>
    <t>(1) inflated effect Sizes in lower-quality Meta-Analyses:  “findings from less robustly conducted meta-analyses may mislead practitioners and policymakers as they tend to overestimate the effect size of the treatment under investigation” (p. 14) and  “a linear tendency for meta-analyses of lower methodological quality...to produce larger effect sizes” (p. 5-6), (2) bias in syntheses: “Potential bias in systematic reviews, and especially in meta-analyses, may lead to greater distortion in the representation of research findings than bias in primary empirical studies, as errors, inconsistencies and/or omissions in the latter could be accumulated and thus amplified in the former” (p. 11-12)</t>
  </si>
  <si>
    <t>the authors conducted a meta-meta-analysis to "calibrate the robustness of current interventions in medicine using different ES indices as the underlying metric, and (2) to examine whether the efficacy of therapeutic interventions in medicine have changed over the years." (p. 19) and "This dissertation presents a systematic attempt to produce empirical data that would indicate, through the lenses of therapeutic efficacy, how good we are. Put another way, it represents an attempt to learn about efficacy through the magnitude of effects" (p. 19)</t>
  </si>
  <si>
    <t>"We included meta-analyses regardless of the statistical model (e.g., adjusted/unadjusted or fixed-/random-effects). We excluded meta-analyses in which sufficient statistics were not provided to compute an effect size. …  We excluded qualitative reviews, descriptive quantitative reviews, primary studies, meta-analyses that only provided regression coefficients as effect sizes or other meta-analytic effect sizes that could not be converted into Cohen’s d, including risk and hazard ratios." (p. 2015)</t>
  </si>
  <si>
    <t>"We aggregated the effects using an unweighted (d) and a weighted (d+) average. To compute the weighted average, we used a random-effects meta-analytic approach… We followed random-effects meta-analytic techniques of categorical comparisons as a conservative test of differences between weighted averages (Borenstein et al., 2009)."​ (p. 2017)</t>
  </si>
  <si>
    <t>adopt alternative statistical methods: "Future research should assess alternative methods for second-order meta-analyses that account for dependency within and between meta-analyses." (p. 2024)</t>
  </si>
  <si>
    <t>"Given the rapid growth of research and meta-analytic studies on White–minority mental health disparities, focusing exclusively on single studies cannot easily settle these questions. For this reason, we employ a second-order meta analysis to aggregate data from multiple meta-analyses, which in turn can account for numerous studies and large samples. The goals of this study are to (a) test these hypotheses by estimating the absolute average difference between Whites and minorities, as well as between- and within-minority groups, on levels of psychopathology, and (b) determine if general and meta-analytic method moderators account for these differences." (p. 2009-2010)</t>
  </si>
  <si>
    <t>"In addition to the advantages of a better specified model for overall job performance, our study also has two methodological advantages. First, this expanded model of job performance extends prior research by testing and reporting the relative importance of each of these determinants using relative weights (Johnson, 2000). Importantly, relative weights analysis (as conducted in other meta-analytic studies; e.g., Chiaburu, Oh, Berry, Li, &amp; Gardner, 2011; Wang, Oh, Courtright, &amp; Colbert, 2011) supplements regression analysis and aids in interpreting the relative importance of determinants/predictors, particularly when they have moderate to high inter-correlations, thereby making regression weights difficult to interpret as indices of relative importance (e.g., corrected correlation of 0.75 for the OCB-I and OCB-O relationship; Podsakoff et al., 2009). Second, by synthesizing effect sizes across first-order metaanalyses on the focal constructs under examination, we use Schmidt and Oh's (2013) second-order meta-analysis approach to improve the accuracy of estimating the relationship between change-oriented citizenship at the aggregate level and overall job performance. This advanced research method can contribute to a better understanding of overall job performance based on cumulative evidence." (p. 98)</t>
  </si>
  <si>
    <t>dependence on Existing Meta-Analyses:"Our meta-analytic matrix is created based on prior meta-analyses... some cells in the meta-analytic numbers are based on relatively smaller numbers of observations than others" (p. 105)</t>
  </si>
  <si>
    <t>"The current review study takes stock of the literature on supervised practice through second-order meta-analysis, a rigorous quantitative method used to aggregate overall effects from previous meta-analyses" (p. 1), “Second-order meta-analysis employs statistical techniques parallel to that of traditional meta-analysis to combine results across first-order meta-analytic studies... enables a comparison of findings and an examination of the discrepancies in the results of these first-order meta-analyses.” (p. 3), “An essential advantage of second-order meta-analysis is that it has the potential to resolve conflicting findings from first-order meta-analyses by synthesizing large bodies of research literature in a succinct yet comprehensive way.”​ (p. 3)</t>
  </si>
  <si>
    <t>inclusion: " (1) A meta-analysis of the effect of supervised practice among K-12 and college aged youth..." (p.4), Exclusion: "(4) insufficient information to calculate an effect size and authors could not be contacted to obtain necessary data within a specific period of time" (p. 4)</t>
  </si>
  <si>
    <t>they used a  three-level meta-analytic model which accounted for variance at three levels: variance in effect sizes between studies, within studies, and sampling variance. "This three-level approach was used in estimating the overall effect of supervised practice programs as well as in testing outcome type and effect size type as moderators of the overall effect size" (p. 6-7)</t>
  </si>
  <si>
    <t xml:space="preserve"> expand evaluations to include diverse interventions, contexts, and populations: “Continued specification and evaluation across interventions, contexts, and populations will help to advance our understanding of supervised practice." (p. 10) and “This second-order meta-analysis enabled an examination of the effects of supervised practice across a range of populations and contexts…representing a more comprehensive landscape of supervised practice beyond what can be obtained using more traditional meta-analytic techniques.”​ (p. 9)</t>
  </si>
  <si>
    <t>(1) Address statistical dependency in SOMA analyses caused by overlapping data:  “The effect sizes derived from the five included first-order meta-analyses might not be fully independent, because there may be some overlap in the primary data that were synthesized in these meta-analyses.” (p. 9), (2) generalizability:  "It is important to note that we excluded participants who were not enrolled in a college or university" (p. 9)</t>
  </si>
  <si>
    <t>"Articles that included data that were also reported in a larger meta-analysis were excluded." (p. 43)</t>
  </si>
  <si>
    <t>"The overall summary effect size for each meta-analysis was recalculated using a random-effects model… To facilitate comparability of the meta-analyses, all e ect sizes were converted to Hedges’ g."​ (p. 43)</t>
  </si>
  <si>
    <t>"The purposes of this article are (a) to show that between-study variance in the gender composition of primary studies is much smaller than within-study variance in gender, and (b) to show the consequences of this lack of variance for meta-analytic tests of moderation" (p. 2) and "In the present article, we report results from two studies: (a) a meta-meta-analysis in which we demonstrate the magnitude of this problem by computing the between-study variance in gender composition across 286 meta-analytic moderation tests from 50 meta-analyses" (p. 1)</t>
  </si>
  <si>
    <t xml:space="preserve">the participants were drawn from various primary studies that included "sample size and sample gender composition" (p. 4) as essential criteria, but the exact demographic description is not directly described. </t>
  </si>
  <si>
    <t>"meta-analysis, meta-analytic, OR quantitative review" (p. 4)</t>
  </si>
  <si>
    <t>"We then screened each article, retaining those that (a) tested gender as a continuous moderator of at least one relationship... and (b) included a table or appendix with information about each primary study included in the meta-analysis" (p. 4)</t>
  </si>
  <si>
    <t>(1) Restricted between-study variance “Our meta-meta-analysis showed that between-study gender variances were quite small, making the detection of gender as a moderator more difficult” (p. 5), (2) non-independence of tests: "We acknowledge that the 286 moderation tests from 50 metaanalyses are nonindependent, however, we were unable to find any precedent or guidance regarding this issue as it relates to this sort of meta-analytic variance estimation" (p. 5), (3) lack of comprehensive reporting in Meta-Analyses: “A majority of meta-analyses that we reviewed did not include all of the information... most lacking a table or appendix with primary study-level information” (p. 3)</t>
  </si>
  <si>
    <t>no ("...we do not take into account the overlap between the studies of meta-analyses, although we believe that [...] any overlap will be minimal." (p. 172))</t>
  </si>
  <si>
    <t>"We calculated r¯ on the basis of the rs not corrected for reliability to group the results together, given that it was the common indicator for all. N, or sample size, was used to weight the effects." (p. 170)</t>
  </si>
  <si>
    <t>(1) When N was not given, they used an average from the other studies and multiplied it by k to estimate N: "Given that Ma’s meta-analysis only reported k, or the number of studies, and not N on which these were based, the sample size was estimated on the basis of the average N in other studies" (p. 170), (2) Rosenthal's Binomial Effect size Display (BESD) was used to show the importance of effects. (3) They integrated both meta-analytic (r) and meta-meta-analytic results (r¯) in one list and compared the results.</t>
  </si>
  <si>
    <t>"Meta-analysis, meta-analytic, systematic review" (p. 942) (both languages)</t>
  </si>
  <si>
    <t>they used Hedge’s g as the primary effect size to account for differences between small and large sample studies. "The mean impact size, heterogeneity analysis, and moderator analysis processes of this study are carried out under a random effect model." (p. 945)</t>
  </si>
  <si>
    <t>location bias, country-based first-order meta-analyses, cultural dimensions: "To cope with location bias, meta-analysis research can be carried out in a way that includes different counties and different databases." (p. 950), "On the other hand, country-based first-order meta-analyses can be combined with the second-order meta-analysis method." (p. 950), "Cultural dimensions of countries can be examined as potential moderators in these combination processes." (p. 950)</t>
  </si>
  <si>
    <t>"The first aim was to comprehensively ascertain the overall prevalence of mental health problems in this workforce. The second aim was to examine how these prevalence meta-analyses are conducted and provide an overview of the meta-analytical methods employed by the authors for this type of meta-research. The results of this work can potentially provide aggregated data on the current impact of the pandemic on the mental health of hospital staff, primarily focusing on doctors and nurses to guide prevention and treatment policies. Finally, this work can also provide a useful overview of methodological issues and concerns related to this type of review." (p. 2)</t>
  </si>
  <si>
    <t>exclusion: "We excluded meta-analyses that examined the prevalence of physical health symptoms solely, or meta-analyses of populations other than hospital staff, meta-analyses of intervention studies, systematic reviews of qualitative studies, systematic reviews assessing the association between variables (e.g., anxiety and work-related stigmatization), narrative reviews, scoping reviews, or systematic literature reviews without prevalence meta-analysis. Meta-analyses reporting odds ratio or relative risks as metrics were also excluded, because such metrics assess the association between an exposure and an outcome rather than the distribution of an outcome" (p. 3)</t>
  </si>
  <si>
    <t>"The random-effects inverse-variance model (DerSimonian and Laird, 1986) was used for meta-analysis due to expected high heterogeneity between results" (p. 3)</t>
  </si>
  <si>
    <t>"These methodological considerations highlighted the importance of improving the design and execution of prevalence meta-analyses and developing and validating a reporting tool." (p. 9)</t>
  </si>
  <si>
    <t xml:space="preserve"> "a) most of meta-analyses included moderate or low-quality studies (mainly cross-sectional designs), b) most of the included studies were conducted in a specific context, China, c) there was considerable inconsistency in the prevalence estimates, with high heterogeneity and publication bias, and d) there was a lack of prevalence estimates for the most of mental health outcomes with few exceptions." (p. 9), "A major source of limitation is the exclusion of non-English articles, the low quality of included studies in meta-analyses and the cross-sectional study design with self-reported measurements, and convenience sampling" (p. 9)</t>
  </si>
  <si>
    <t>prereg: we coded that there was no preregistration, based on the following. "This umbrella review followed the Preferred Reporting Items for Systematic Reviews and Meta-analyses (PRISMA 2020) reporting guideline... and an a priori protocol, available on request." (p. 2). However, it was not formally preregistered in a repository like PROSPERO.</t>
  </si>
  <si>
    <t>"The aim of the current project was to provide a comprehensive overview and quantitative synthesis of the links between substance use and violence. To accomplish this, we conducted a meta-metaanalysis (i.e., the use of meta-analytic techniques to review existing meta-analyses) ... This approach has many advantages including the ability to: (a) to assess variability between metaanalyses; (b) summarize very large research literatures in a parsimonious fashion; and (c) compare across meta-analyses with different populations (e.g., men vs. women, psychotic diagnosis vs. no psychotic diagnosis), operationalizations of violence (e.g., lab oratory observed violence, community reported violence, homicide records, etc.), inclusion/exclusion criteria, and methodologies (e.g., alcohol vs. drug vs. both alcohol and drug)." (p. 239 - 240)</t>
  </si>
  <si>
    <t>"To be included, systematic reviews needed to involve a meta-analytic component (i.e., quantitative aggregation of effect sizes) ..." (p. 240)
"Meta-analyses were excluded ... if they did not contain aggregated effect sizes." (p. 240)</t>
  </si>
  <si>
    <t>"Aggregate effect sizes were weighted by the inverse of their variance (Shadish &amp; Haddock, 2009). Mean weighted effect sizes are presented for random-effects models." (p. 241)</t>
  </si>
  <si>
    <t>(1) Examine study design influences: "Future research should examine the aspects of study design that may contribute to the stronger finding for laboratory-based studies versus community samples." (p. 246)</t>
  </si>
  <si>
    <t>"Meta-meta-analytic approaches provide a parsimonious strategy for reviewing a large amount of research; however, they are in turn, less focused on narrow aspects of a relationship … another issue to raise is that meta-analytic studies included in the current investigation may include overlap in the individual studies reviewed. ... Additionally, as with any meta-analytic review, the analysis is limited by the existent literature. ... Another limiting factor of meta-analytic procedures are that the potential moderatos examined are limited by the variables existing in the existent literature" (p. 245-246)</t>
  </si>
  <si>
    <t>"This study contributes to the extant literature that reflects on the status of marketing research in several ways. First, by measuring the value of the body of knowledge in marketing with meta-analytic effect sizes, researchers can evaluate the body of knowledge against common benchmarks for the size of an effect, compare it with the meta-analytic findings of other disciplines, and decide whether marketing research has been successful. Second, by providing an empirical and quantitative account of how much variance of behavior in markets we can explain—that is, how much we know about market behavior—the meta-analytic effect size shows the predictive power of our knowledge for the whole field, and particularly for different subject areas. The meta-analytic figures make knowledge production in different subject areas accountable and comparable and set benchmarks for assessing the value and contribution of future research pro- jects. Third, by analyzing how knowledge has developed over time and how progress varies across subject areas in marketing, the study identifies the model of knowledge development that applies to marketing research and assesses the maturity of the discipline. These findings com- plement previous reviews on the thought development of marketing research (...)" (p. 23-24)</t>
  </si>
  <si>
    <t>"To establish meaningful inclusion criteria, definitions of both what a meta-analysis is and what qualifies as a market- ing topic are needed. This research defines a meta-analysis as follows (see also Richard, Bond, and Stokes-Zoota 2003): the study must report a numerical measure of a rela- tionship between two variables (e.g., correlation, standard- ized mean difference) and must systematically summarize evidence of this effect collected within two or more primary scholarly studies by two or more researchers or research teams. This definition resulted in exclusions of several stud- ies that are sometimes referred to as meta-analytic. First, review studies that did not report numerical measures for a relationship between two variables but rather presented descriptive results on a single variable such as vote-counting, percentages, mean values, and validity coefficients were excluded. Second, studies that compiled effect sizes from various data sets from a single practitioner source were excluded because these studies lack comparability with scholarly meta-analyses and do not provide information to code all independent variables (e.g., Lodish et al. 1995). Third, studies that combined raw data from previous studies instead of effect size measures were excluded. Fourth, some studies that were published as abstracts only and for which further information could not be retrieved from the authors for various reasons (e.g., the study is still a work in progress) were excluded." (p. 27)</t>
  </si>
  <si>
    <t>it is difficult to test theories with SOMAs: "That is, effect sizes contain valuable information, but they might emphasize simple concepts and relationships rather than more complex conceptual frameworks and views. Indeed, the meta-meta-analysis falls short in explain- ing the variation of effect sizes due to specific theories. Although this is important to researchers, the contribution of specific theories often cannot even be assessed in first- order meta-analyses because they gather and aggregate empirical results independent of the theory that has been applied in primary research. Thus, the current study is unable to explain the variation in effect sizes due to particu- lar theories. Although adding theory differences as another predictor to the regression model would probably increase the models’ explained variance, its exclusion does not affect the explanation of variance due to subject areas and time." (p. 38)</t>
  </si>
  <si>
    <t>the authors aimed to provide a "comprehensive, quantitative, empirically well-grounded assessment of the degree of advertising effectiveness" (p. 519), and "Second, the study contributes to the extant literature and ongoing discussion on hierarchy of effects models and suggests that these hierarchies depend on combinations of input and outcome measures. The theoretical rationale for these combinations is based on different processes that explain the link between particular inputs and particular outcomes." (p. 519)</t>
  </si>
  <si>
    <r>
      <t>the study included only meta-analyses that (1) reported a numerical measure of the relationship between two variables (such as correlation or mean difference) and (2) systematically summarized evidence across multiple primary studies conducted by different research teams. Exclusions were applied to "(1) review studies that do not report numerical measures for a relationship between two variables but provide descriptive results, such as percentages (e.g., Abernethy and Franke 1996); (2) studies that compile effect sizes from various data sets from a single practitioner source (e.g., Batra et al. 1995), because they are more homogeneous and thus not comparable to meta-analytic data gathered by different authors in different contexts and at different times; and (3) studies published as abstracts, for which further information from the authors could not be retrieved for different reasons (e.g., Hunt, Geiger-Oneto, and Shehryar 2009).</t>
    </r>
    <r>
      <rPr>
        <b/>
        <sz val="12"/>
        <color theme="1"/>
        <rFont val="Arial"/>
        <family val="2"/>
      </rPr>
      <t>" (p. 523)</t>
    </r>
  </si>
  <si>
    <t>"integrate the meta-analytic correlations following the procedure described by Schmidt and Oh (2013) for second-order meta-analyses that model between-meta-analysis variation" (p. 525)</t>
  </si>
  <si>
    <t>"If the individual effect sizes in a meta-analyses were combined in subgroups of meta-analytic effect sizes rather than into a single meta-analytic effect size, (...), they were coded separately. If different meta-analyses provided the same meta-analytic effect size, it was included only once" (p. 524)</t>
  </si>
  <si>
    <t>(1) Interesting inclusion criterion on primary studies having to be published in specific journals: "They qualified as such if the majority of articles that were included in the meta-analyses came from advertising, communication, or marketing journals. If the meta-analysis included less than 50% of the articles from these journals, three expert coders made a final decision regarding whether the topic of the meta- analysis qualified as an advertising topic (e.g., Lau, Sigelman, and Rovner 2007)." (p. 523), (2) Interesting way of checking for publication bias by comparing the effect sizes of published versus unpublished meta-analyses to check for significant differences.</t>
  </si>
  <si>
    <t>"Here, a second-order meta-analysis (SOMA) can enhance generalizability by aggregating findings from multiple meta-analyses across different outcomes, contexts, or populations." (p. 5)</t>
  </si>
  <si>
    <t>inclusion: "a: (1) The metaanalysis conducted a systematic search and a quantitative/statistical analysis of the included primary studies. (2) The meta-analysis reported at least one weighted average effect size of the relation between at least one of the aspects of TSRs ..." (p. 19) and exclusion: "n. (2) The Abstract, full text, or secondary sources reporting the results of the study were not available. (3) The publication narratively synthesized research results, not providing any weighted average effect size of the intended relation (i.e., qualitative or narrative reviews). ...  (5) An updated and more comprehensive meta-analysis existed. ... (6) An article synthesized international largescale assessments of different countries rather than separate studies. ... . (7) The article was a review of meta-analyses (e.g., Hattie, 2008" (p. 19-20)</t>
  </si>
  <si>
    <t>“When two meta-analyses overlapped in 50% or more of the primary studies, we described their results narratively but did not use quantitative, inferential analyses.” (p. 20)</t>
  </si>
  <si>
    <t>"Using the weighted average effect sizes (𝑟𝑘̅) and their standard errors, we estimated a second-order meta-analytic correlation between TSRs and student outcomes (𝑟̿) with inverse-variance weighting." (p. 26)</t>
  </si>
  <si>
    <t>"Future meta-analyses and SOMAs should include statistical power as a quality criterion, map it across meta-analyses, and utilize it for sensitivity analyses to account for the evidence value of the included research." (p. 51),  "Authors should be aware of high-standard guidelines for meta-analyses, such as AMSTAR (Shea et al., 2007)." (p. 23), “We encourage future research to strive for more fine-grained data to test their interactions and relations.” (p. 34), “Future meta-analyses should include different language cultures by at least accepting publications in languages other than English and thus improving the generalizability of our research results.” (p. 57)</t>
  </si>
  <si>
    <t>"Several limitations are worth mentioning, as reviews of meta-analyses and SOMAs condense all the limitations of the included primary studies and meta-analyses." (p. 55), "The confidence intervals of the included effect sizes varied substantially and were generally large, which introduced more variation into the SOMA." (p. 56), "This high level of abstraction applies to all second-order reviews and meta-analyses, leading to several imprecisions in the sample or the definition of constructs and their measurement." (p. 45), “Second-order meta-analytic effect sizes tended to show large variance, which could be due to... large confidence intervals of the included effect sizes, which introduced more variation into the SOMA.” (p. 60)</t>
  </si>
  <si>
    <t>"The goal of our rapid review is to provide a broad summary of the current evidence drawn from published meta-analyses in order to evaluate the effectiveness of self-guided therapeutic practices which can be implemented by individuals on their own, including during physical distancing and quarantine measures"​ (p. 2)</t>
  </si>
  <si>
    <t>"The inclusion criteria for our review were: (a) quantitative meta-analysis of RCTs or experimental studies;... and (f) reported sufficient information on effect sizes. Where available, relevant moderator conditions were also extracted for further analysis." (p. 3) and "The exclusion criteria for our review were: ... (b) meta-analyses of group-based interventions; ...(d) meta-analyses that did not clearly report on
conditions in criteria a-c;  ...(f) systematic reviews; (g) metaanalyses of cross-sectional or correlational studies ..." (p. 3)</t>
  </si>
  <si>
    <t>"If there was a 50% overlap or larger between two meta-analyses for a specific outcome variable, we included only the meta-analysis with the larger sample size"​ (p. 3)</t>
  </si>
  <si>
    <t>"The average effect sizes per intervention category were computed using rma with REML estimation in the metafor package in R" (p. 3)</t>
  </si>
  <si>
    <t>(1) Addressing cultural diversity:"More research on the effectiveness of interventions in diverse cultural settings is needed."​ (p. 1)</t>
  </si>
  <si>
    <t>(1) Lack of culturally transferable interventions: "Most studies have been conducted with samples from high-income, highly educated, and mainly Western nations." (p. 17)</t>
  </si>
  <si>
    <t>(1) interesting approach of a "rapid review": "We focused on published meta-analyses of randomized controlled trials (RCT) or experimental studies that evaluate the eﬀectiveness of psychological interventions and strategies for a range of psychological outcomes" (p. 2)</t>
  </si>
  <si>
    <t>"Meta-Meta analysis is a quantitative re-analysis on a series of meta-analyses, and it is an important way to examine whether there are biases in a certain field...Meta-analysis is mainly applicable to study relationship between variables or whether interventions are effective, whereas Meta-Meta analysis is mainly used to study biases in a certain field. Biases affect the development of science, and they are important causes of replicability crises. Therefore, Metascience could rescue replicability crises"​ (p. 3) and "The present study examines whether emotional intelligence experiences a replicability crisis by studying decline effects in the field of emotional intelligence." (p. 2)​. They used SOMA to explore these decline effects and gain insight into the reliability of findings in emotional intelligence studies.</t>
  </si>
  <si>
    <t>"The present study selection criteria included that meta-analysis should be unique, available, quantitative, ... we excluded seven duplicate ones. ... We then excluded 24 articles because of lack of (full) data table, non-standard method, or too few studies"​ (p. 3)</t>
  </si>
  <si>
    <t>"Repetitive primary studies were coded only once"​ (p. 3)</t>
  </si>
  <si>
    <t>the authors used a random-effects model with Fisher’s Z-transformed correlation coefficients to aggregate the effect sizes of all included primary studies. "Therefore, we should choose random-effects model rather than fixed-effects model in following analyses"​ (p. 5) and "We subsequently converted all r’s to Fisher’s Z values, because the standard error then only depends on the sample size and not on the correlation itself"​ (p. 4)</t>
  </si>
  <si>
    <t>"...scientists should not blindly pursue significant results and ignore non-significant results" (p. 7)</t>
  </si>
  <si>
    <t>(1) Overestimation of effect sizes in original studies: "Original studies in mixed EI may overestimate effect sizes, so effect sizes decrease obviously over time"​ (p. 8)</t>
  </si>
  <si>
    <t>to systematically investigate the association between several trial characteristics (both commonly investigated and underexplored) and reported treatment effect estimates in randomized trials of testosterone therapy in men. This approach was aimed at improving the design and conduct of future clinical trials.  "The aim of this study is to investigate the association between several trial characteristics (both commonly investigated and underexplored) and reported treatment effect estimates in randomized trials of testosterone therapy in men. Knowledge of these factors may help improve the design and conduct of future clinical trials to establish stronger evidence about the treatment effects of testosterone therapy in men." (p. 13)</t>
  </si>
  <si>
    <t>"We included systematic reviews with meta-analyses of binary outcomes or meta-analyses of continuous outcomes…" (p. 13)</t>
  </si>
  <si>
    <t>"All duplicate trials were removed, starting with the meta-analysis with the smallest number of trials and moving sequentially up to the meta-analysis with the largest number of trials" (p. 13)</t>
  </si>
  <si>
    <r>
      <t>meta-analytic effect sizes were aggregated using a two-step "meta-meta-analytic" approach, "Treatment effects for binary outcomes were estimated as odds ratios (ORs) and treatment effects for continuous outcomes as standardized mean differences (SMDs).</t>
    </r>
    <r>
      <rPr>
        <b/>
        <sz val="12"/>
        <color theme="1"/>
        <rFont val="Arial"/>
        <family val="2"/>
      </rPr>
      <t>"</t>
    </r>
    <r>
      <rPr>
        <sz val="12"/>
        <color theme="1"/>
        <rFont val="Arial"/>
        <family val="2"/>
      </rPr>
      <t>: "We first estimated within each meta-analysis a ratio of odds ratio (ROR) for binary outcomes or a difference in standardized mean differences (dSMD) for continuous outcomes... Then, we estimated a combined ROR across meta-analyses and the 95% CI by using a random-effects meta-analysis model." (Haring-et-al-2020) (p. 15)</t>
    </r>
  </si>
  <si>
    <t>(1) Future research should include larger datasets of meta-analyses to improve statistical power., and (2) Trials should be transparently reported and designed with high methodological quality. "Future randomized trials should not only be adequately designed but also transparently reported... A larger meta-epidemiological study may be able to detect different or stronger bias associations." (p. 12/13-18)</t>
  </si>
  <si>
    <t>(1) Small sample sizes or datasets, reducing statistical power., (2) Lack of diversity in included studies., (3) High prevalence of "unclear" risk of bias due to incomplete reporting: "This finding confirms the persistently high prevalence of incomplete reporting... stresses the need for improved reporting in trials." (p. 18)</t>
  </si>
  <si>
    <t>"The current paper therefore evaluates variability across different meta-analyses and tests for key moderators (i.e., performance criteria, sources of ratings, and context) ... Second-order meta-analysis helps researchers test whether the observed variation in effect size estimates across different countries, for example, is greater than would be expected due to sampling error"​ (p. 1)</t>
  </si>
  <si>
    <t>"We used Schmidt and Oh (2013) artifact distribution secondorder meta-analytic methods for the calculation of aggregated effect sizes, as all the first-order meta-analytic correlations included in our study are based on the artifact distribution method" (p. 5)</t>
  </si>
  <si>
    <t>(1) Dependence on constituent meta-analyses: "Our second-order meta-analytic findings are limited by the constituent meta-analyses" (p. 17), (2) Small sample sizes in specific regions: "Notably, several first-order meta-analytic estimates used for second-order analyses were based on a small number of studies with potentially insufficient cumulative sample sizes" (p. 17). (3) Issues with the ProVar statistic: "This statistic can be misleading when the overall variance is nearly zero... ProVar is less informative as the denominator is relatively small" (p. 17-18)</t>
  </si>
  <si>
    <t>(1) k &amp; n: We used table 1 to sum up included studies and participants using the highest number from the Conscientiouness facet. This is likely to be an underestimation of the real value.(2) Publication year range: We only know about a handful of included meta-analysis from the Note in tables 2 and 11, from where we derived the publication range. However they state "This step identified 101 meta-analyses to review for potential inclusion in our analysis"​(p. 5).</t>
  </si>
  <si>
    <t>pooled standardized mean differences (SMDs) and Hedges' g to account for possible overestimation in small studies. To obtain a pooled estimate of the effect in the meta-analysis of the heterogeneous studies, we performed a random-effects model, as described by DerSimonian and Laird (1986). (p. 830)</t>
  </si>
  <si>
    <t>We selected systematic reviews (with or without a meta-analysis) of randomized controlled trials (RCTs) or controlled clinical trials (CCT) and excluded systematic reviews that included RCTs or CCT in combination with non-experimental designs"​ (p. 829), "... exclusion criteria; ..., ..., the non-evaluation of at least one of the study variables, studies that were unavailable, nonsystematic reviews, and reviews that included as original studies casecontrols, case series, cohort studies or systematic reviews. (p. 830)</t>
  </si>
  <si>
    <t xml:space="preserve">The aim of this study was therefore to develop a mapping and umbrella review with a meta-meta-analysis (MMA) to synthesize and critically evaluate the current evidence on MI and AO on various functional variables such as postural balance, range of motion, muscle strength, arm function, arm activities of daily life and gait. (p. 829) </t>
  </si>
  <si>
    <t>Q statistics and I².  "I² values greater than 25% represented low heterogeneity, and values over 75% represented large heterogeneity​.,  ..., A study was therefore considered heterogeneous when it fulfilled one or both of the following conditions: 1) the Q-test was significant (p &lt; 0.1), and 2) the result of I 2 was &gt;75 %" (p. 830)</t>
  </si>
  <si>
    <t>(1) It is unclear whether there was study overlap in meta-analyses ("A number of the original studies appeared in several of the systematic reviews, but none of these reviews included the same studies" (p. 831)). It is likely that coding was done by two independend coders, but it was not reported. (2) double coding was only done for the quality rating</t>
  </si>
  <si>
    <t>(1) more robust and generalisable results, (2) accurately account for publication bias, (3) take advantages of heterogeneity across meta-analyses and moderators: "…to synthesise all relevant meta-analytic information using a second-order meta-analysis approach on the effectiveness of the flipped classroom on student learning outcomes. By synthesising the findings of multiple primary meta-analyses instead of individual empirical studies, a second-order meta-analysis can more accurately account for publication bias and generate a more robust result." (p. 132)</t>
  </si>
  <si>
    <t>"It reported an overall mean effect size and the standard error or confidence intervals of the mean effect size. The type of effect size metric used must also be clearly described. It provided a list of the primary empirical studies analysed.
effect size. The type of effect size metric used must also be clearly described.
• It provided a list of the primary empirical studies analysed.
• It was written in English.
• It was publicly available or through library database subscription" (p. 135)</t>
  </si>
  <si>
    <t>they took the validation approach through primary study aggregation and "[...] followed the example of Young (2017) and Tamim et al. (2011) to validate the results of our second-order meta-analysis". (p. 138)</t>
  </si>
  <si>
    <t>"Following Sygouros and Acar (2013), we categorised the total R-AMSTAR points for each meta-analysis based on a percentile ranking of our sample" (p. 140) that is high-quality, good-quality, fair-quality, and low-quality based on percentiles on the 44-point R-AMSTAR scale</t>
  </si>
  <si>
    <t>"The main limitation of our second-order meta-analysis is that we could not examine other possible moderators due to the lack of available data." (p. 146). Prior meta-analyses relied too much on funnel plots as the only means of publication bias detection. Also prior meta-analyses did not report dependence of effect sizes.</t>
  </si>
  <si>
    <t>"This review included all first-order meta-analyses that met the following criteria: […] (b) The reported effect size was based on at least two quantitative studies that were not individual case studies." (p. 6)</t>
  </si>
  <si>
    <t>"All meta-analyses had at least 75% unique primary studies. Thus, we decided to compute second-order effect sizes because every meta-analysis included contributed substantially to the database"​ (p. 7-8)</t>
  </si>
  <si>
    <t>"The study quality was coded from zero to nine and represents the sum of fulfilled methodological character- istics for each meta-analysis, which we describe in the next section." (p. 8)</t>
  </si>
  <si>
    <t>cluster-robust standard errors ("We corrected the second-order sampling error using (cluster) robust variance estimation" (p. 9))</t>
  </si>
  <si>
    <t>the authors only coded whether bias was checked in included meta-analyses: unpublished documents, conducting funnel plots, or using a trim and fill analysis ("Publication bias checks were integrated into 77% of the metaanalyses and included funnel plots, trim and fill analyses, and unpublished literature." (p. 13))</t>
  </si>
  <si>
    <t>"It is more feasible and reasonable to conduct a second-order meta-analysis, also known as a “meta-analysis of meta-analyses” in order to reach an overarching conclusion on the question, and synthesize the effects of already existing meta-analyses (Hunter &amp; Schmidt, 2004). Second-order meta-analyses quantitatively synthesize the information provided in individual meta-analyses that are comparable to each other, and allow researchers to accurately estimate the true mean effect sizes in each first order meta-analysis by computing the reliability of the differences between meta-analyses in mean effect size (Cooper &amp; Koenka, 2012; Hunter &amp; Schmidt, 2004). This method has been argued to address issues such as second order sampling error in first order meta-analyses (Hunter &amp; Schmidt, 2004). The procedure of second order meta-analysis is quite similar to the overall approach of first order meta-analyses (see Borenstein et al., 2009; Lipsey &amp; Wilson, 2001). Several studies have employed second-order meta-analyses and validated their results against study-level syntheses, and found that the overall conclusions reached are similar (e.g., Tamim et al., 2021; Young, 2017). At this point in time, first-order meta-analyses of parental involvement and achievement are numerous but no second-order metaanalysis has been conducted up to date to the best of our knowledge on this topic. ...Conducting a second-order meta-analysis is timely and necessary in order to help inform parental involvement policies by providing a more representative mean of the distribution going beyond any single estimate provided by a single meta-analytic study. " (p. 2)</t>
  </si>
  <si>
    <t>"Complete elimination of overlap across first-order meta-analyses is impossible, thus limiting the overlap to less than 25% has been recommended (Cooper &amp; Koenka, 2012)." (p. 7)</t>
  </si>
  <si>
    <t xml:space="preserve">(1) Increase diversity in samples: "Future research can better inform policies targeting families by further exploring interactions between moderators, in particular the impact of different types of involvement across various cultural groups and across developmental periods." (p. 14), (2) Culturally sensitive frameworks:  "Our second-order meta-analysis points to the need to develop more updated and culturally sensitive frameworks of parental involvement that are relevant to contexts outside of the US.". (3) Integration of naturally occurring and intervention studies: "Intervention studies thus fail to capitalize on the information obtained from correlational studies which may be valuable for practice." (p. 14)
</t>
  </si>
  <si>
    <t xml:space="preserve">(1) Publication bias: "We limited our search to published journal articles and were unable to include unpublished or inaccessible articles." (p. 13), (2) Lack of directionality in correlational studies: "Correlational studies do not suggest any directionality, making it difficult to draw any conclusions about whether achievement was a direct result of the involvement." (p. 13), (3) Small cell sizes in moderator analyses: "We were unable to fully test the moderators because of the small cell size, in particular for intervention studies." (p. 13), (4) Bias toward European-American models: "The current frameworks of PI are drawn from European American models of parental involvement because they have been driving most of the research on parental involvement up to date." (p. 13), (5) Underrepresentation of Non-U.S. and international studies: "In most cases, the numbers of non-US studies were too small to conduct moderator analyses." (p. 13)
</t>
  </si>
  <si>
    <t>(1) primary studies are extracted from this: “This resulted in a total of 8 studies representing approximately 209 primary studies and 31,104 participants being included in our analysis.” (p. 11) and “In total, 15 meta-analyses representing approximately 889 primary studies and 2,241,516 participants were included in our analysis.” (p. 7)</t>
  </si>
  <si>
    <t>"We retained only the treatment estimates from the meta-analysis with the broadest coverage, that is, the largest number of studies." (p. 174)</t>
  </si>
  <si>
    <t>effect sizes were aggregated using mean phi coefficients: "For the recidivism outcomes of correctional interventions, the most commonly used effect size statistic is the phi coefficient — the familiar product–moment correlation coefficient applied to the relationship between a binary group variable (intervention versus control) and a binary outcome (did or did not recidivate)" (p. 175) and “The grand mean intervention effect in the distribution of intermediate sanction in Figure 1 is a 0.02 phi coefficient.” (p. 179)</t>
  </si>
  <si>
    <t>(1) Examine contextual factors and subgroups: "Rather than focusing on whether a specific intervention works, there are questions regarding when it works best, why it works best and for whom it works best" (p. 184)</t>
  </si>
  <si>
    <t>(1) dependence on prior studies: "When researchers engage in meta-analysis, they are dependent on the work of other researchers to a much greater degree than if they are designing the study and collecting original data" (p. 186), (2) potential methodological bias: "The lower recidivism for the intervention groups cannot be attributed to bias resulting from the inclusion of results from poorly designed studies or one-group pre-and-post designs" (p. 182)</t>
  </si>
  <si>
    <t>"However, although the individual and meta-analysis studies made significant contributions to the relevant literature, the need for more comprehensive studies investigating the effect of the cooperative learning model on learning outcomes continues. In line with this need, it is considered that it is important to examine different meta-analysis studies in the literature together and synthesize their results. In this direction, it is aimed to synthesize the findings of the first-order meta-analysis studies investigating the effect of the cooperative learning model on learning outcomes in this study with the second-order meta-analysis." (p. 276-277)</t>
  </si>
  <si>
    <t>"4. Meta-analysis studies should contain sufficient statistical data to calculate the generic effect size. (e.g., Cohen's d, Hedge's g and lower limit (LL), the upper limit (UP), standard error (SE), and variance value depending on these effect sizes)" (p. 278)</t>
  </si>
  <si>
    <t>"The overlap rate between meta-analysis studies should be at most 25%. If the overlap rate is less than 25%, it is accepted that meta-analysis studies are independent." (p. 278)</t>
  </si>
  <si>
    <t>"Suppose the samples of the studies used in meta-analysis studies are different and different from each other in terms of characteristics. In that case, it is recommended to use the random effect model . (Borenstein et al., 2011). The random effect model was preferred for statistical analysis in this study since meta-analysis studies came from different samples... Second-order meta-analysis studies are carried out with similar assumptions (Hew et al., 2021; Tamim et al., 2011; Young, 2017)"​ (p. 279-280)</t>
  </si>
  <si>
    <t>inclusion of studies in multiple languages: "Second-order meta-analysis research can cover more extensive year ranges and different languages." (p. 286) and detailed and analytical analyses: "For more detailed and analytical analyses ... second-order meta-analysis studies with different units of analysis can be done." (p. 286)</t>
  </si>
  <si>
    <t>(1) unit of analysis constraints: "In this research, the analysis unit is at the research level. For more detailed and analytical analyses (for example, according to learning product or teaching levels), second-order meta-analysis studies with different units of analysis can be done." (p. 286)</t>
  </si>
  <si>
    <t>Ozturk, B. (2023). The effect of cooperative learning models on learning outcomes: a second-order meta-analysis. Educational Policy Analysis and Strategic Research, 18(3), 273-296.</t>
  </si>
  <si>
    <t>Ozturk (2023)</t>
  </si>
  <si>
    <t>"In this study, we conducted a second-order meta-analysis to unpack the link between socioeconomic status and behavior problems by estimating the average association of income, education, occupation, and overall socioeconomic status with internalizing and externalizing problems." (p. 1889-1890) and "Second-order meta-analysis can facilitate this accumulation because it averages across meta-analytic effects to provide the most comprehensive estimate of an association." (p. 1894)</t>
  </si>
  <si>
    <t>"Meta-analyses were not excluded based on the method of aggregating effects (e.g., fixed vs. random effects). Meta-analyses that examined intervention effects were excluded because interventions were beyond the scope of this study. Meta-analyses that did not provide sufficient statistics were also excluded, in addition to meta-analyses that only provided regression coefficients and other meta-analytic effect sizes that could not be converted into Pearson’s r (i.e., risk ratios or hazard ratios). Qualitative reviews, primary studies, and meta-data analyses were excluded." (p. 1895)</t>
  </si>
  <si>
    <t>"an overlap less than or equal to 25% was considered acceptable" (p. 1897) as done in prior meta analyses (Causadias et al., 2018; Zell et al., 2015).</t>
  </si>
  <si>
    <t>(1) high heterogeneity: "Values of I² indicate the amount of variability between meta-analyses that is not attributed to sampling error." (p. 1896), (2) lack in diversity: "We could not test moderation by race/ethnicity…" (p. 1900)</t>
  </si>
  <si>
    <t>"(…) a second-order meta-analysis also provides an opportunity to evaluate the quality of the first-order meta-analysis (Bernard et al., 2014; Tamim et al., 2011) (…) [it is] particularly useful when existing meta-analytic studies produce contrasting results. Second-order meta-analyses have more requirements to ensure methodological rigor on the part of second-order meta-analysts, who need to consider bias at three levels, the second-order meta-analysis level, the first-order meta-analysis level, and the primary study level (Polanin et al., 2017). In addition, by including multiple first-order meta-analyses
and assessing the reliability of the differences between mean effect sizes from these meta-analyses, a more accurate estimate of effect sizes is expected to be obtained from a second-order meta-analysis (Schmidt &amp; Oh, 2013). Consequently, results of second-order meta-analyses also provide broader evidence to policymakers and practitioners (Polanin et al., 2017)." (p. 3)</t>
  </si>
  <si>
    <t>inclusions criteria "Reported an average effect size or data to calculate the average effect size." (p. 4)</t>
  </si>
  <si>
    <t>(1) small data pool, possibility of having missed meta-analyses that should have been included), resulting in too few occurences for moderator analyses. (2) they averaged multiple effect sizes from one MA. (3) "little is known about synthesizing studies involving random-effects model with studies that use
fixed-effect models. In this study we did not distinguish between models when synthesizing, and both were present" (p. 12). (4) "This study does not fully examine or discuss the specific practices of primary researchers or first-order researchers, nor does it take into consideration the theoretical perspectives that may have been essential in the original studies or first-order analyses. " (p. 12)</t>
  </si>
  <si>
    <t>"Meta-meta-analyses (also called second-order meta-analyses) are meta-analyses of metaanalyses. They apply similar techniques to meta-analyses of primary studies in order to combine results of meta-analyses [22–25]. In a first step, the effects of parent-based interventions on child behavior are summarized irrespective of the source of information. In a second step, effects on child behavior are analyzed separately for parent report and observational data. Furthermore, a third analysis is restricted to meta-analyses explicitly reporting results on externalizing behavior problems alone. All displayed analyses are conducted for post and follow-up measures. To reach an unbiased evaluation of the effectiveness of parent-based interventions, overlap of primary studies in different meta-analyses is taken into account." (p. 3), "...the aim of the present study is to conduct a comprehensive review and meta-meta-analysis summarizing all existing meta-analytic estimates…" (p. 2-3)</t>
  </si>
  <si>
    <t>"…the following aspects led to exclusion of studies (n = 220): no meta-analysis…" (p. 4)</t>
  </si>
  <si>
    <t>overall quality score (ordinal: insufficient, low, medium and high): “Each item was assessed on a 3-point Likert scale coding 0 (‘item not fulfilled’), 1 (‘item partially fulfilled’), or 2 (‘item completely fulfilled’). Thus, quality ratings could range between 0 and 54.” (p. 5)</t>
  </si>
  <si>
    <t>"... effect estimates were transformed to standardized mean differences (SMD). If a meta-analysis stated multiple effect sizes for one outcome, these estimates were aggregated into a single effect size. …[then,] effect sizes of meta-analyses were weighted according to our colleagues [24] by the adjusted number of included primary studies kadj to obtain an overall effect estimate account- ing for primary study overlap" (p. 5)</t>
  </si>
  <si>
    <t>"To enable more precise analyses and correct interpretation of effects, we appeal to authors of meta-analyses to illustrate all relevant information precisely and to adhere to high quality standards (e. g. PRISMA guidelines [27])" (p. 16)</t>
  </si>
  <si>
    <t>(1) Improved reporting standards: “We appeal to authors of meta-analyses to illustrate all relevant information precisely and to adhere to high quality standards (e.g., PRISMA guidelines).”​ (p. 16), (2) moderator and mediator Analyses: “Moderator analyses considering possible variables influencing the effectiveness of parent-based interventions (e.g., symptom severity, child age, delivery format), or mediator analyses on changes in parenting behavior which mediate child behavior changes, are currently not possible and should be an aim for future research.” (p. 14), (3) Heterogeneity: "As combining various independent studies inevitably increases the risk of heterogeneity due to the heterogeneous design of the studies, the present results should be interpreted with caution." (p. 14), (4) Publication bias: "Due to the exclusion of unpublished studies, the risk of publication bias is certainly raised. On the other hand, including unpublished studies could also be a threat to validity, e.g., due to poor methodological quality." (p. 11)</t>
  </si>
  <si>
    <t>(1) Uniqueness: "To establish that each primary study contributed only once to the meta-meta-analysis, an adjusted value was estimated for each primary study that was included in multiple meta-analy- ses. For this purpose, the number of meta-analyses in which each primary study was included was determined. If primary studies could not be positively related to specific effect sizes in a meta-analysis, a conservative approach was adopted by correcting for all primary studies included in the meta-analysis. The inverse of this number was considered as the uniqueness of this study. For each meta-analysis, the uniqueness values of the included primary studies were summed up to determine the adjusted number of primary studies (kadj). Due to statistical rea- sons, meta-analyses with kadj less than or equal to three were subsequently excluded and kadj of the remaining studies were recomputed. Based on the adjusted number of primary studies (kadj), the standard errors for the effects from meta-analyses and finally the overlap-corrected weights for each meta-analysis were estimated." (p. 5)</t>
  </si>
  <si>
    <t>they stated, “Without precise effect sizes, statistical power analyses... would provide inaccurate sample size estimations for studies exploring the effect of MBIs on employee well-being” (p. 126) and emphasized the need to summarize these effect sizes to provide better benchmarks for research and practical applications​</t>
  </si>
  <si>
    <t>"… (3) quantitative analysis …" (p. 1032)</t>
  </si>
  <si>
    <t>"We constructed a dataset collecting standardised effect sizes (Hedge's g) and standard errors on two well-being outcomes, distress (k = 192) and well-being (k = 119). Hedge's g is a variant of Cohen's d that includes a correction for small sample sizes (Hedges &amp; Olkin, 1985). We then conducted the calculations proposed by Schmidt and Oh (2013) (pp. 207–209)." (p. 1032)</t>
  </si>
  <si>
    <t>(1) independence of primary studies: "An important caveat of our ‘bare bones’ second‐order meta‐analysis is that we cannot ensure that the assumption of independence was fulfilled. This assumption requires that the first‐order meta‐analyses included in the second‐order meta‐analysis will not share their primary studies." (p. 1045), (2) sample size and generalizability issues:"Our sample has some limitations, as it consisted of female registered nurses from a small healthcare organisation, and, thus, other professions were not represented in our study." (p. 1045) and "Our sample's second issue was its relatively small size, in part because our data collection efforts were limited due to external constraints, mainly, the COVID‐19 global pandemic." (p. 1045)</t>
  </si>
  <si>
    <t>"Meta-analyses were eligible irrespective of language, year of publication, or publication type.", "Metaanalyses had to be based on a systematic literature search" (p. 503)</t>
  </si>
  <si>
    <t>"Rater agreement for the variables included in moderator analysis is given in Cohen's κ for dichotomous variables and in weighted kappa, κw, for continuous variables." (p. 503)</t>
  </si>
  <si>
    <t xml:space="preserve">"We included systematic reviews, meta-analyses, or similar reviews characterized by Grant and Booth (2009), which includes rapid reviews, scoping reviews, state-of-the-art reviews, systematic searches with review, systematized reviews, mapping reviews, or systematic maps (...) we excluded non–systematic reviews, primary studies, theory papers, or narrative reviews (e.g., Sweller, 2010)." (p. 9)                                                                                                                                                                                                                                                                                                                                                                                                                                                 </t>
  </si>
  <si>
    <t>"We followed the Cochrane Collaboration advice to select the largest of those reviews for each multimedia design principle to avoid double-counting older primary studies (Pollock et al., 2018)"​ (p. 12)</t>
  </si>
  <si>
    <t>converted all reported, pooled ES to a common metric, Hedges’s g, which corrects for biases in small sample sizes, "We used random-effects multilevel meta-analyses because these analy- ses are robust to effect sizes that are clustered (Moeyaert et al., 2016)" (p. 12) with maximum-likelihood estimation.</t>
  </si>
  <si>
    <t>they "statistically accounting for publication bias" (p. 23) by unknown means</t>
  </si>
  <si>
    <t xml:space="preserve">(1) "future reviews implement a gold-standard assessment of the quality of primary studies (currently RoB 2; Sterne et al., 2019) drawn from meta-meta- analytic estimates of what design choices inflate effect sizes (e.g., unblinded designs, no prospective registration). " (p. 34). (2) Future reviews could identify how well the findings from this review translate to behavior-change outcomes sought in other domains (e.g., health or marketing). (3) Future meta-analyses could robustly test these hypotheses by collecting all the primary studies that test these moderators
32 (e.g., expertise reversal) and identify whether the phenomena are robust across all studies and design principles.improving quality assessment and addressing methodological variability </t>
  </si>
  <si>
    <t>the authors chose a SOMA to "estimate the average effect size, median power, and evidence of small-study effects, decline effects, US effects, and citation bias" (p. 2) across the intelligence research field. They sought to complement prior work by examining "a larger and more diverse sample of meta-analyses in intelligence research and by analyzing more patterns of bias"​ (p. 2)</t>
  </si>
  <si>
    <t>excluded: 1) Articles that did not report quantitative meta-analyses.  2) Meta-analyses that used non-standard methods (e.g., multilevel models with individual-level data). 3) Meta-analyses with fewer than three unique primary studies:"We excluded nine meta-analyses that contained fewer than three unique primary studies, because it was not possible to estimate patterns of bias based on only two observations"​ (p. 3)</t>
  </si>
  <si>
    <t>"If a study appeared in more than one meta-analysis, we removed it from the meta-analysis with the most primary studies"​ (p. 3)</t>
  </si>
  <si>
    <t>converting ES to Fisher's Z. "We chose to convert all effect sizes to r because it made more conceptual sense to express a d in r than vice versa... For the meta-analyses of patterns of bias, we subsequently converted all r values to Fisher’s Z values, because the standard error then only depended on the sample size and not on the correlation itself"​ (p. 6)</t>
  </si>
  <si>
    <t>"In future research, it would be valuable to garner an even larger sample of meta-analyses, conduct formal power analyses for the (preferably preregistered) meta-meta-regressions, and consider other options for modeling the different types of bias." (p. 17), "Another improvement would be to avoid publication bias and opportunistic use of flexibility in data analysis by preregistering study plans." (p. 18), "A final recommendation is to increase transparency by sharing materials, data, and analysis scripts to facilitate replication and reanalysis." AND "Researchers need to take into account that published effect sizes from previous research are probably overestimated." (p. 18), "We might need systematic changes in peer review, in allocation of funding, and in university policies... One bottom-up strategy to improve reliability of published findings is to increase power." (p. 18)</t>
  </si>
  <si>
    <t>(1) Incomplete data tables:"We were limited to meta-analyses that actually included the full data table, which was very often not the case (namely, in 81 meta-analyses). It is imaginable that the meta-analyses without data tables contained stronger and/or other patterns of bias." (p. 16). (2) Publication time frame:"Our sample of meta-analyses included a wide range of years of publication (1984–2014, with primary studies covering almost 100 years), but did not include meta-analyses published later than 2014." (p. 17). (3) Language and access barriers:"We did not have access to some meta-analyses that did match our search criteria because they were behind a paywall or not written in English." (p. 17). (4) Systematic differences between primary and Meta-Analyses:"If an included primary effect size does not correspond to the main hypothesis test from that study, there is less reason to expect bias in that effect size." (p. 17). (5) Few primary studies in Meta-Analyses: "We estimated many meta-regressions for meta-analyses with only few primary studies in them. This means that the individual bias estimates for each of the meta-analyses may be unreliable." (p. 17). (6) Aggregated patterns of bias: "These are patterns of potential bias that are aggregated over meta-analyses. Even though we found evidence for an overall small-study effect, this does not mean that each meta-analysis in intelligence research showed this problem." (p. 17). (7) Underpowered Meta-Meta-Analyses: "It is also possible that these meta-meta-regressions are underpowered... so any significance tests on our data need to be interpreted with care." (. 17). (8) Omission of certain bias types:"Previous studies showed evidence for a 'grey literature bias'... Another type of bias we did not investigate is 'industry bias.'" (p. 17)</t>
  </si>
  <si>
    <t>Unclear, whether they did account for dependent effect sizes or not : "meta-analysis research analyzes the impact of IBLM on academic
performance and cognitive features, related impact sizes are considered independent." (p. 205)</t>
  </si>
  <si>
    <t>"The primary purpose of Study 3 is to investigate which factors explain the differences in mean FFM trait intercorrelations across meta-analyses." (p. 1497) and "These include second-order sampling error, personality rating source, personality model and construct conceptualization, inventory-specific features, sample type and assessment purpose, publication status, origin of the sample (e.g., United States/North America-based or not), and years of data collection, among others." (p. 1497)</t>
  </si>
  <si>
    <t>inclusion: 1)Meta-analyses had to include FFM intercorrelations for explicit personality traits, and exclusion: 1) "We excluded primary studies where relevant correlation coefficients and sample sizes/standard errors (or sufficient information to calculate them) was not reported." (p. 1496) and 2) "We excluded the measures based on the HEXACO model from the meta-analysis..." (p. 1496)</t>
  </si>
  <si>
    <t>"Following Schmidt and Oh (2013), we conducted second-order meta-analyses by weighting each meta-analytic mean observed correlation by its sample size inverse second-order sampling error. We estimated overall average mean correlations (r), as well as average mean correlations for each level of the moderator variables described above. We also fit second-order meta-regressions to estimatethe proportion of observed nonartifactual variability in mean FFM correlations accounted for by each moderator, weighting each correlation by its inverse second-order sampling error and calculating residual random effects variance using the Schmidt-Hunter estimator." (p 1506-1507)</t>
  </si>
  <si>
    <t>(1) transparency in reporting: "We strongly advocate for increased transparency in reporting for meta-analyses and adherence to the APA Meta-Analytic Reporting Standards." (p. 1518). (2) Detailed coding and reporting: "Meta-analysts should code and report basic features of the samples, contexts, research designs, and measures for each effect size included in their analyses." (p. 1518). (3) adressing data limitations: "Such improved reporting will not only enable better evaluation and interpretation of meta-analyses by readers, but also expand the scope of questions that can be addressed in large-scale integrative metascience investigations." (p. 1518)</t>
  </si>
  <si>
    <t>(1) Insufficient Information in First-Order Meta-Analyses:"Unfortunately, insufficient information was provided in the included first-order meta-analyses to permit such fine-grained analyses without identifying and recoding potentially thousands of individual primary studies"​ (p. 1517). (2) Polytomization of Moderator Levels:"The resulting necessary polytomization of moderator levels is likely to have somewhat attenuated potential moderator effects"​ (p. 1517). (3) Dependence on existing Meta-Analyses: "We had to use reasonable assumed values for non-essential yet necessary input information for our second-order meta-analyses as such information was unavailable in the included first-order meta-analyses"​ (p. 1517-1518).</t>
  </si>
  <si>
    <t>“Although decline effects have been documented in individual meta-analytic investigations, systematic evidence for decline effects in the psychological literature remains to date unavailable. Therefore, we present in this meta-meta-analysis a systematic investigation of the decline effect in intelligence research”​ (p. 1)</t>
  </si>
  <si>
    <t>"First, meta-analyses had to report traditional effect sizes (i.e., Cohen d, Hedges g, Pearson r, Odds ratios, Log Odds ratios, or Fisher z) rather than effect sizes that had been obtained through secondary analyses, such as the Method of Correlated Vectors ... Second, included meta-analyses should not have been arbitrarily limited in terms of the time frame of the literature search. ... Third, the effect size of the initial study had to be either reported in the meta-analysis or had to be identifiable based on the primary paper that it had been reported in." (p. 3-4)</t>
  </si>
  <si>
    <t>"we first calculated average crude differences and regression slopes in terms of overall effect deviations, as well as subgrouped according to declines, increases, and proteus effects by means of random-effects and fixedeffect models (weighted by number of samples minus three within each meta-analysis). " (p. 4)</t>
  </si>
  <si>
    <t>(1) Adopt Open Science practices:"Increasing transparency in scientific processes such as data sharing, (exploratory) study preregistration, but also self- (or independent) replication... may be suitable approaches to strengthen the credibility of empirical research"​ (p. 1), (2) Apply safeguard power for replications: "Potential replicators of exploratory studies may wish to use concepts such as safeguard power (i.e., anchoring their power analysis on the lower threshold of the confidence interval instead of on the effect estimate) to design direct or conceptual replications" (p. 11)​,  (3) Investigate larger Meta-Meta-Analytic datasets: "Considering the comparatively large range of these years (i.e., initial study years ranged from 1913 to 2005), this may mean that publication pressure plays only a limited role... However, this idea warrants further systematic investigation of larger meta-meta-analytic datasets to allow a reliable interpretation" (p. 10)​, ALL:  "Extensive implementations of study preregistration, publication of primary data, discovery-(direct)replication sampling approaches, and the use of safeguard power in replications may help in alleviating problems that are associated with effect misestimation" (p. 12)</t>
  </si>
  <si>
    <t>(1) publication bias and underestimation of bias: "Our estimate must be seen as a lower threshold of actual publication bias occurrence" (p. 11) and "In our publication bias analyses, all primary studies that had been included within the meta-analyses have been treated as if they had been published which necessarily leads to an underestimation of the publication bias prevalence"​​ (p. 11),  (2) lower study power: "The presently observed suboptimal average study power does not seem to be unique to intelligence research" (p. 10)​, (3) Limited generalizability: "We acknowledge that our data were limited to meta-analyses from a specialized journal in a specific academic subfield and may therefore not be generalizable to the entire psychological literature" (p. 11)</t>
  </si>
  <si>
    <t>(1) q: In table 1 it is stated to be 36(2) Coding_double: The coding was done twice, but by the same rater: "Full texts of all search hits were obtained and coded twice into categories by the same experienced researcher (JP)" (p. 4). However, this might be considered: "Discrepancies between the first and second coding run were resolved through discussion with another independent researcher (MS)"​ (p. 4)</t>
  </si>
  <si>
    <t>"...systematically aggregate and quantify high-quality meta-analytic findings of the effects of physical activity on depression and anxiety for non-clinical populations." (p. 366), "Syntheses of existing reviews on a topic can provide encompassing summaries of evidence to aid clinician and policy-makers in decision-making" (p. 267)</t>
  </si>
  <si>
    <t>uniqueness factor ("The adjusted variance estimates were weighted to account for sample dependency across meta-analyses to avoid violating the independence assumption (Hedges, Tipton, &amp; Johnson, 2010). When a primary study was included in more than one meta-analysis, the estimates were weighted so that the sample size only counted towards the meta-analysis with the highest quality rating." (p. 369))</t>
  </si>
  <si>
    <t>“When a primary study was included in more than one meta-analysis, the estimates were weighted so that the sample size only counted towards the meta-analysis with the highest quality rating” (p. 369)</t>
  </si>
  <si>
    <t>no (I believe the following partains to the overlap of primary studies and not to the effect sizes multiplicity "The adjusted variance estimates were weighted to account for sample dependency across meta-analyses to avoid violating the independence assumption (Hedges, Tipton, &amp; Johnson, 2010)." (p. 369))</t>
  </si>
  <si>
    <t>funnel plots ("statistical tests for asymmetry were not used because test power is too low to distinguish asymmetry unless there are more than 10 eligible effects in the meta-analysis (Sterne et al., 2011)." (p. 369))</t>
  </si>
  <si>
    <t>(1) double coding was done just for the quality rating; unclear about the other data, (2) ES attenuated by quality, (3)  Not a power analysis conducted, but: "Funnel plots were created to examine risk of publication bias; statistical tests for asymmetry were not used because test power is too low to distinguish asymmetry unless there are more than 10 eligible effects in the meta-analysis (Sterne et al., 2011)" (p. 369), (4) unclear if it was double screened, therefore we reported "not reported": "Meta-analyses were screened for inclusion independently by two coders (co-authors ALR, RS) based on titles and abstracts and again by two authors (ALR, DG) based on full text." (p. 368), (5) Double coding for quality</t>
  </si>
  <si>
    <t>"This study used metasynthesis (i.e., second-order meta-analysis) to derive a comprehensive estimate of the effect of meditation on health" (p. 507), "A comprehensive synthesis of meta-analyses is necessary to explore whether the effect of meditation on health is moderated by several theoretical and methodological variables" (p. 508) and "To provide an overview of meta-analyses on meditation–health effects, thereby identifying the strengths and weaknesses of this literature, as well as topics in need of future research" (p. 508)</t>
  </si>
  <si>
    <t>"To be included in the metasynthesis, articles had to provide meta-analytic effect sizes … (d) did not consist only of RCTs... or (e) did not report relevant effect size information, such as Cohen’s d, Hedges’ g, or an odds ratio"​ (p. 509)</t>
  </si>
  <si>
    <t>"A decision rule was used such that meta-analyses were included if most of their samples were unique (i.e., sample overlap was 49% or below)" (p. 509)</t>
  </si>
  <si>
    <t>"An unweighted average of each of the 28 meditation–health effects was used to estimate the population effect (see Zell and Krizan 2014; Zell et al. 2015). Past research found that unweighted averages in meta-analysis tend to perform as well or better in predicting population effects than averages that weight by study sample size or other criteria (see Bonett 2009; Shuster 2010). Nonetheless, exploratory analyses that weighted by sample size (N) or the number of effects (k) included in prior analyses were also conducted to evaluate whether these weighting procedures influenced effect size estimates. "​ (p. 511)</t>
  </si>
  <si>
    <t>(1) study quality: "The present research did not yield conclusive information regarding the influence of low-quality studies on estimates of meditation effects" (p. 514)</t>
  </si>
  <si>
    <t>"Meta-reviews are similar to systematic reviews because they systematically search for and appraise existing research to answer a focused research question. A systematic review aggregates primary studies, but a meta-review aggregates systematic reviews. This allows meta-reviews to cover a wider scope than traditional systematic reviews." (p. 2), "A meta-meta-analytic approach was necessary because it permitted the use of all available information from the original meta-analyses to calculate a pooled effect while accounting for variability at both the study and meta-analysis level." (p. 3)</t>
  </si>
  <si>
    <t>"Our inclusion criteria were (1) systematic reviews, scoping reviews, or similar reproducible reviews (i.e., those with a reproducible method section describing a searching and screening procedure); ... (5) peer-reviewed." (p. 3)</t>
  </si>
  <si>
    <t>"We extracted quantitative estimates from reviews that included meta-analyses and converted them to the most commonly used metric (r) using the compute.es package (Del Re, 2020)" (p. 3) and "We used random-effects meta-analyses to calculate pooled effects for each mechanism and each outcome." (p. 3) and "A meta-meta-analytic approach was necessary because it permitted the use of all available information from the original meta-analyses to calculate a pooled effect while accounting for variability at both the study and meta-analysis level." (p. 3)</t>
  </si>
  <si>
    <t>(1) "We hope future systematic reviews of primary studies more frequently assess these biases using a validated tool, like ROB2 (Sterne et al., 2019)." (p. 13), (2) "We hope future reviews discuss the external validity of their included studies, and could consider integrating those judgements into their own certainty assessment (e.g., via GRADE)." (p. 14), (3) "Another approach would be to assess the facilitators and barriers to successfully delivering a pilot-tested intervention to new populations and in new contexts (e.g., scale-up; Saeri et al., 2021)." (p. 14)</t>
  </si>
  <si>
    <t>(1) "By focusing on review-level evidence we necessarily excluded primary studies that would have been useful for charity and non-profit researchers and practitioners." (p. 13), (2) "Similarly, we were limited to the interventions selected by previous reviewers, so necessarily omitted interventions not included in any systematic reviews, even though they may inform research and practice." (p. 14), (3) "Focusing on systematic reviews means we may have excluded some more recent, ‘cutting-edge’ interventions." (p. 13), (4) "Our meta-review prospectively excluded grey literature and reviews in other languages. This may affect generalisability, but doing so seldom affects conclusions from meta-reviews." (p. 13), (5) "Few included reviews formally assessed these biases. As a result, we could not conduct sophisticated assessments of the internal validity of the included without examining the methods of the 1339 primary studies." (p. 13), (6) "Our ability to assess external validity was subject to the quality of the reporting in the included systematic reviews." (p. 14)</t>
  </si>
  <si>
    <t>"Theory building in science requires replication and integration of findings regarding a particular research question. Second-order meta-analysis (i.e., a meta-analysis of meta-analyses) offers a powerful tool for achieving this aim, and we use this technique to illuminate the controversial field of cognitive training." and "The technique of second-order meta-analysis (or meta-meta-analysis; Schmidt &amp; Oh, 2013) has been developed with this goal in mind: to integrate the results of first-order meta-analyses." (p. 1)</t>
  </si>
  <si>
    <t>"The meta-analysis had to be recent (published/carried in 2015 or later) to include most of the relevant studies in the field of cognitive training." (p. 5) and "Second-order meta-analysis assumes the first-order meta-analyses to be statistically independent, that is, no study can be included in more than one meta-analysis." (p. 5)</t>
  </si>
  <si>
    <t>"We had to choose only one meta-analysis per training and population." (p. 5) and "Among the eligible meta-analyses, we selected those meta-analyses that were more comprehensive (i.e., included more studies), and more technically sound and comparable in terms of calculation of the effect sizes and inclusion criteria of the primary studies." (p. 5)</t>
  </si>
  <si>
    <t>"We used random-effect models for all the first-order meta-analyses. The amount of total between-study heterogeneity (τ²) was calculated with the REML estimator (Veroniki et al., 2016)." (p. 4) and "Second-order meta-analysis aims to estimate to what extent second-order sampling error accounts for the difference across overall meta-analytic means." (p. 2) and "We implemented the equations for second-order meta-analysis of bare-bones meta-analyses (Schmidt &amp; Oh, 2013; pp. 207–209)." (p. 4)</t>
  </si>
  <si>
    <t>(1) "None of the first-order meta-analyses included effects that were corrected for measurement error." (p. 16) and "Correcting for measurement error would increase the effect sizes’ sampling error variances and, consequently, reduce the total amount of between-study true heterogeneity." (p. 16), (2) "A second limitation concerns the choice of the most appropriate corrected estimate to be included in the second-order meta-analytic models." (p. 16), (3) "The selection of some of the first-order meta-analyses is, to a certain degree, arbitrary too." (p. 16) and "Preferring a corrected estimate over another one always implies a certain degree of arbitrariness." (p. 16), (4) The limited total number of primary studies included in some of the first-order meta-analyses provides less accurate estimates (large standard errors) and limits the power of publication bias analysis. (p. 16-17)</t>
  </si>
  <si>
    <t>the study justifies the use of a SOMA (Systematic Overview and Meta-Analysis) specifically because it allows for a comprehensive evaluation of biases and their impact across a large dataset of randomized controlled trials (RCTs) aggregated within multiple meta-analyses. "To date, methodological factors, including randomization and allocation concealment used to assess risk of bias, are derived only from meta-epidemiological studies of RCTs in medicine. Notably, a core set of items geared to assess the risk of selection bias was identified by many meta-epidemiological studies in medical subspecialty fields... However, these meta-epidemiological studies were based mostly on dichotomous outcomes... Therefore, the objectives of this study were to 1) examine associations between treatment ES estimates and adequacy of sequence generation, adequacy of allocation concealment, and baseline comparability and 2) determine the impact of potential additional factors, such as dental specialty, type of treatment, type of outcome, and the heterogeneity of meta-analyses on treatment ES estimates"​ (p. 6)</t>
  </si>
  <si>
    <t>"The meta-analysis examined a minimum of 1 continuous outcome and included at least 5 RCTs with quantitative data of treatment ES estimates" (p. 6)</t>
  </si>
  <si>
    <t>the meta-analytic effect sizes were statistically aggregated by: "A 2-level meta-meta-analytic approach with a random effects model to allow for intra- and inter-meta-analysis heterogeneity". (p. 5) Additionally, the process involved pooling treatment effect sizes (ES) using inverse-variance random effects meta-analysis: "Inverse-variance random effects meta-analysis was used to derive pooled treatment ES estimates for each meta-analysis."​ (p. 7)</t>
  </si>
  <si>
    <t>"Future meta-epidemiological assembling of a greater number of meta-analyses and trials should take other design biases into account by synthesizing results from different disciplines and data sets" (p. 11)</t>
  </si>
  <si>
    <t>(1) "examined published studies only" (p. 11), (2) Heterogeneity across studies: "Certain levels of heterogeneity are expected in any meta-epidemiological examination of the impact of bias on treatment ES estimates" (p. 11), (3) stratified analyses conducted within the study were less statistically powered than the main analysis: "The stratified analyses conducted in our study are likely less powered than the main conducted analysis" (p. 11), (4) "This study did not assess the likely effects of interactions with other design biases" (p. 11)</t>
  </si>
  <si>
    <t>"If a trial was found in &gt;1 meta-analysis, it was used once in the meta-analysis with the fewest number of studies evaluated" (p. 7)</t>
  </si>
  <si>
    <t>"The present second order meta-analysis aims to summarize the existing evidence and shed light on the generalizability of the effects of patient education on health." (p. 451) and "... second order meta-analyses serve some important purposes, such as (a) summarizing the existing evidence from more than one meta-analysis, (b) comparing findings and resolving discrepancies among these meta-analyses, and (c) identifying research gaps and potential directions for future research. In this way, the results can provide valuable insights into the generalizability of the effectiveness of patient education. As such, we employ second order meta-analytic techniques in the current review to summarize the effects of patient education on health outcomes studied with different patient populations" (p. 454)</t>
  </si>
  <si>
    <t xml:space="preserve"> "Studies were included... when they fulfilled each of the following four criteria: (1) The study is a meta-analysis... (4) The meta-analysis reports quantitative and standardized effect sizes." (p. 455)</t>
  </si>
  <si>
    <t>"Whenever there was overlap between meta-analyses, we included only the most recent of these meta-analyses, which was usually also the largest." (p. 456)</t>
  </si>
  <si>
    <t>"we integrated the mean effect sizes across meta-analyses using second order meta-analysis" (p. 457)</t>
  </si>
  <si>
    <t>(1) developing comprehensive standards: "Comprehensive standards and guidelines are still needed." (p. 468)</t>
  </si>
  <si>
    <t xml:space="preserve">(1) Low methodological quality: "Quality ratings assessed by AMSTAR-2 ... indicated only low and critically low methodological quality." (p. 467), (2) Lack of reporting on funding sources and selection of study designs: "The most frequently reported shortcomings were no information on the sources of funding for the studies included, missing explanation of the selection of study designs, and absence of a review protocol describing review methods before conducting the review." (p. 467), (3) Heterogeneity in interventions: "We were not able to systematically analyze differential effects due to different components or teaching methods employed in the interventions due to the great heterogeneity across the interventions." (p. 467)
</t>
  </si>
  <si>
    <t>the authors conducted the SOMA with the purpose of providing a comprehensive overview of meta-analyses. Specifically, they aimed to “create a current and comprehensive compilation of meta-analyses related to educational achievement in which selected background, methodological, and contextual characteristics as well as substantive results are described and synthesized.” (p. 592). Might be understood as an effort to organize existing studies, identify gaps, and understand which factors consistently affect educational outcomes.</t>
  </si>
  <si>
    <t>"Four criteria were used to include meta-analytic studies in the study. They were: 1. published journal articles for the years 1984-1993; ... 2. published research reports of meta-analyses when the corresponding meta-analysis was not included in the database; ... ; and 4. at least one reported effect size or statistic which could be converted into an effect size" (p. 615)</t>
  </si>
  <si>
    <t>Epi Info Version 6.02, SPSSx, and SPSS for Windows. "All data were double-entered and validated using Epi Info Version 6.02, which is a word processing, database, and statistics system for Epidemiology on Microcomputers (Dean, Dean, Burton, &amp; Dicker, 1990)" (p. 623)</t>
  </si>
  <si>
    <t>"First, the study with the largest number of primary studies was included. Second, if the numbers of primary studies were similar (within 10), the most recent study conducted was included" (p. 624)</t>
  </si>
  <si>
    <t>"The total mean effect size was calculated from either the individual effect sizes from each primary study (first preference) or effect sizes from the categories of study characteristics (second preference)" (p. 621)</t>
  </si>
  <si>
    <t>(1) "A computerized database search on the terms "supersyntheses", "meta-meta-analyses", and "second-order meta-analysis" revealed no citations. Thus, no further discussion of this methodological approach was found in the literature." (p. 602)</t>
  </si>
  <si>
    <t>"Second-order meta-analyses can serve some important purposes, such as (a) summarizing evidence from more than one meta-analysis, (b) comparing findings and resolving discrepancies among existing meta-analyses, (c) reexamining the credibility and validity of the conclusions of existing meta-analyses with a fresh perspective and new advancements in meta-analysis techniques, and (d) identifying research gaps and future inquiry directions"​ (p. 855)</t>
  </si>
  <si>
    <t>“The searches combined two sets of search terms. One set was used to identify meta-analyses of substantive relevance, that is, meta-analyses that focused on either ability grouping or acceleration and met the inclusion criteria." (p. 856)</t>
  </si>
  <si>
    <t>“These included the following: (1) It employed methods of meta-analysis or quantitative synthesis to aggregate research findings, often through the calculation of effect sizes... (3) It included studies that had both treatment and control groups so that standardized mean differences were calculable...” (p. 856)</t>
  </si>
  <si>
    <t>“The integration was conducted with the CMA software using mixed-effects models and the Hedges’ g of individual meta-analyses as the unit of analysis. An integrated Hedges’ g is the average of the Hedges’ g across associated original meta-analyses… Each of the contributing Hedges’ g was weighted using the Hedges and Vevea (1998) method of weighting by inverse variances, so that the integrated Hedges’ g was not overly influenced by any single ES.” (p. 859)</t>
  </si>
  <si>
    <t>“Providing evidence of a lack of difference continues to be difficult, especially when doing so does not fit within the traditional frequentist statistics framework... requires Bayesian statistical comparisons that allow for confirmation of two groups performing equivalently” (p. 893)</t>
  </si>
  <si>
    <t>(1) "Existence of publication bias may lead to biased estimates (usually overestimates) of an effect." (p. 859)</t>
  </si>
  <si>
    <t>(1) They did some kind of double-coding, but only with themselves. In other words, the two coders coded separate sets of studies, but they coded them twice: "Most important, each coded their respective meta-analyses at least two times to ensure the coding accuracy and reliability." (p. 857)</t>
  </si>
  <si>
    <t>the authors conducted the metasynthesis "to derive a robust and comprehensive estimate of the overall relation between Big Five personality traits and health variables using metasynthesis (i.e., second-order meta-analysis)" (p. 797)</t>
  </si>
  <si>
    <t>"Papers that were not meta-analyses were excluded, such as primary studies and review articles as well as mini meta-analyses of data obtained in a single study." (p. 800)</t>
  </si>
  <si>
    <t>"Meta-analyses were included if most of their samples were unique (i.e., sample overlap was 49% or below). This resulted in the exclusion of 11 meta-analyses that used the same samples as later, more comprehensive meta-analyses on the same health outcome" (p. 801)</t>
  </si>
  <si>
    <t>"This metasynthesis used the unweighted average of personality–health effects provided by prior meta-analyses to estimate population effects"​ (p. 803)</t>
  </si>
  <si>
    <t>the authors aim"to summarize 40 years of research activity addressing the question" (p. 4) and "Given the extensive number of meta-analyses in the field, it is more reasonable and more feasible to synthesize their findings"​ (p. 5)</t>
  </si>
  <si>
    <t>"The search strategy included the term meta-analysis and its synonyms, such as quantitative review and systematic review" (p. 8)</t>
  </si>
  <si>
    <t>"the highest overlapping meta-analyses were removed one at a time until  25% or less of overlap (Wilson &amp; Lipsey, 2001) in included primary studies was  attained for each of the remaining meta-analyses. After the exclusion of any meta- analysis,  the  percentage  of  overlap  for  the  remaining  set  of  meta-analyses  was  recalculated, and based on the new frequencies another highly overlapping meta- analysis was excluded. This process was repeated 12 times." (p. 9)</t>
  </si>
  <si>
    <t>(1) interesting way to deal with study overlap "Because of the fact that  primary studies included in more than one meta-analysis did not only appear in  two particular meta-analyses, the removal of one meta-analysis from the overall  set  resulted  in  a  change  in  the  frequencies  of  overlap  in  other  meta-analyses.  Therefore, the highest overlapping meta-analyses were removed one at a time until  25% or less of overlap (Wilson &amp; Lipsey, 2001) in included primary studies was  attained for each of the remaining meta-analyses. After the exclusion of any meta- analysis,  the  percentage  of  overlap  for  the  remaining  set  of  meta-analyses  was  recalculated, and based on the new frequencies another highly overlapping meta- analysis was excluded. This process was repeated 12 times."(p. 9). (2) four ways to extract standard errors from meta-analyses: •  Extraction of the standard error as reported by the author
•  Calculation of the standard error from individual effect sizes and corre-
sponding sample sizes for the included primary studies
•  Calculation of the standard error from a reported confidence interval
•  Imputation of the standard error from the calculated weighted average 
standard error of the included meta-analyses (3) easy explanation of mixed-effects models: "A mixed effects model summarizes effect sizes within subgroups using a random model but calculates the between-group Q value using a fixed model (Borenstein et al., 2009)."</t>
  </si>
  <si>
    <t>"in addressing the knowledge gap, the present study employs second-order meta-analysis to synthesize results from first-order meta-analyses (or ‘meta-analyses’ hereafter) examining the effects of school leadership models and practices. This analytical strategy enables findings from the large number of meta-analyses published (2003–2019) to be summarized and broad insights to be derived. These meta-analyses collectively examine hundreds of primary studies dated 1978– 2019. Such data are not easily available for analysis from an individual primary study or even in a first-order meta-analysis. (...) It can assess variability among results reported in first-order meta-analyses because it analyses a substantially larger database of studies." (p. 470)</t>
  </si>
  <si>
    <t>"Meta-analyses were excluded if they: (…) (b) were qualitative reviews; or (c) examined the same set of primary studies as that analysed in another meta-analysis." (p. 475)</t>
  </si>
  <si>
    <t>"the degree of overlapping primary studies for each meta-analysis was determined as the percentage of all primary studies examined. Results showed a low level of overlap (3.71– 16.41%), below the 25% rule of thumb (Cooper and Koenka, 2012), thereby enabling us to treat effects reported as being reasonably independent from each other." (p. 475)</t>
  </si>
  <si>
    <t>"all ES were converted to Pearsons correlations, then converted to Fisher’s z-scores and weighted by the inverse of their variance. The weighting enabled effect sizes from larger-sample studies (higher reliability) to be given more weight than those from smaller-sample studies (Lipsey and Wilson, 2001). Effect sizes were subsequently converted back to Pearson’s correlations in the reporting of results." (p. 478)</t>
  </si>
  <si>
    <t>"future research can employ a meta- ethnographic approach to unravel the complexity of school leaders’ work and ascertain specific processes by which school leaders influence school outcomes." (p. 486)</t>
  </si>
  <si>
    <t>"(1) the third limitation is that the present study was not able to clarify processes underpinning associations between school leadership and outcomes." (p. 486)</t>
  </si>
  <si>
    <t>"Therefore, it is also referred to as overview of reviews, systematic review of reviews, umbrella review, meta-meta-analyses, or meta-analysis of meta-analyses (Polanin et al., 2016).  They only double-coded for school leaderhip &amp; methodological quality." (p. 474)</t>
  </si>
  <si>
    <t>"Meta-analyses on the same topic sometimes reveal different findings. …" (p. 315). "A meta-meta-analysis, also called a second-order meta- analysis, synthesizes the findings of traditional, first- order meta-analyses. The methods of second-order meta- analyses are a straightforward generalization of first-order meta-analytic methods to the analysis of mean effect size estimates (i.e., meta-analytic effect sizes) across mul- tiple meta-analyses (Schmidt &amp; Oh, 2013). A second- order meta-analysis combines these meta-analytic effect sizes across meta-analyses of interest without access- ing the primary studies. Similar to a first-order meta- analysis, researchers can model the variance between meta-analyses to assess homogeneity (i.e., whether the variation between meta-analytic findings are homoge- neous). If they are heterogeneous, moderator variables can potentially explain the variation between estimates and reduce heterogeneity. We used judgment call and non–judgment call variables as moderators to explain the variation between estimates." (p. 315)</t>
  </si>
  <si>
    <t>a study was considered a meta-analysis if it (1) reported a numerical measure of a relationship between two variables, (2) summarized systematic evidence from at least two primary studies: "First, the study must report a numerical measure of a relationship between two variables. Second, the study must summarize systematic evidence of this effect collected from two or more primary scholarly studies by two or more researchers or research teams." (p. 320)</t>
  </si>
  <si>
    <t>multivariate, multilevel meta-meta-analysis "If only the sample size-weighted mean or variance-weighted mean was provided, this mean was used because no differences appeared between raw mean and weighted mean values"​ (p. 320)</t>
  </si>
  <si>
    <t>"Further meta-meta-analytic research on judgment calls should also try to consider factors that can affect the robustness of meta-analytic findings, such as statistical power or the sample size of each first-order meta-analysis." (p. 327)</t>
  </si>
  <si>
    <t>(1) common limitations in SOMAs include reliance on judgment calls and methodological decisions that may influence meta-analytic findings. These decisions can create variability in results across different meta-analyses, making robustness a challenge: Meta-analytic findings can vary due to non–judgment call differences between meta-analyses...as indicated by differences in findings in meta-analyses on the same topics (p. 325)</t>
  </si>
  <si>
    <t>(1) interesting table on previous studies on the influence of judgment calls in meta-analyses (Table 1). (2) interesting table 2 on how judgment calls in meta-analysis affect  results in marketing research. (3) interesting: "when more sources in the retrieval process were used, then the inclusion of unpub- lished studies was more likely (r(1,839) = .178, p = .018), while a higher number of coders led to less elimination of effect sizes due to missing information (r(1,839) = −.213, p = .002)." (p. 324)</t>
  </si>
  <si>
    <t>"The main goal of our second-order meta-analysis was to provide a comprehensive synthesis of climate change mitigation interventions." and "This second-order meta-analysis exceeds these boundaries and provides the most extensive meta-analytic summary to date, by synthesizing ten meta-analyses in a preregistered synthesis including a total of 430 primary studies." (p. 7)</t>
  </si>
  <si>
    <t>"We included meta-analyses based on a systematic search. Hence, we excluded meta-evaluations/program evaluations... and internal meta-analyses.", "We included meta-analyses that incorporated studies with a control group or a proxy for a control group.", "We included meta-analyses that provided (either in the article, through open access sources, or in correspondence with the authors) adequate statistics for us to calculate both an effect size measure and a measure of dispersion." (p. 7)</t>
  </si>
  <si>
    <t>"Sequentially, we excluded meta-analyses starting with the lowest percentage of uniqueness or highest degree of overlap and recalculated the uniqueness of the remaining meta-analyses until each meta-analysis contributed more than 25% of unique primary studies." (p. 7-8)</t>
  </si>
  <si>
    <t>"We calculated a second-order meta-analysis of bare-bones first-order meta-analyses following the approach by Schmidt and Oh (20)." (p. 8)</t>
  </si>
  <si>
    <t>(1) "We suggest that the following statistics should be reported for each of the included primary studies: effect size (define which), SE, number of observations for each condition, tau-squared, prediction intervals, and P-values." (p. 6), (2)"We encourage future meta-analyses to transparently report how each of the included effect sizes was calculated and, when applicable, describe which variables were used from each of the primary studies." (p. 6),  (3) "Providing raw and/or open data for primary studies would enable readers and future meta-analysts to comprehend, evaluate, and reuse data." (p. 6), (4) "We encourage future meta-analyses to preregister their work or/and to use registered reports." (p. 6), (5) "We, therefore, encourage future meta-analyses to avoid 'double-counting' control conditions." (p. 6), (6) "Running subgroup analysis might detect important moderators for future research, yet as these analyses are at risk of being low-powered and plausibly confounded, we encourage future researchers to interpret any such findings with caution." (p. 6), (7) "Finally, we encourage future meta-analyses to use modern statistics and bias adjustments such as the p-curve analyses, selection models, and WAAP-WLS analyses." (p. 6)</t>
  </si>
  <si>
    <t>(1)"The majority of the first-order meta-analyses had some of their primary studies in common, resulting in a large overlap between some meta-analyses.", "The quality of our second-order meta-analysis is limited by the quality of the first-order meta-analyses and their included primary studies." (p. 6)</t>
  </si>
  <si>
    <t>"We explicitly have chosen the approach of meta-meta-analyses to investigate the diversity in previous meta-analyses rather than combining evidence.", "The aims of the current umbrella review with meta-meta-analysis are thus to first summarize the latest meta-analytical knowledge on the efficacy of the pharmacological (e.g., stimulant or non-stimulant), psychological (e.g., behavioral therapy, school-based behavioral treatments, parent or teacher training) treatments and a combination thereof for children and adolescents with ADHD based on parents' and teachers' symptom ratings. We compared the evidence narratively and if sufficient data were available, on a meta-meta-analytic level. Second, we conducted a systematic overview by identifying factors (such as char acteristics of sample, study design, outcome measures) contributing to the previously observed differences in meta analytic results and derived implications to propel ADHD treatment research forward." (p. 2)
"Our aim was to synthesize the latest evidence of the effectiveness of psychological, pharmacological treatment options and their combination in a systematic overview and meta-meta-analyses."</t>
  </si>
  <si>
    <t>inclusion: "We considered only meta-analyses investigating the effects of any intervention for children and adolescents with ADHD on the basis of at least two primary studies (k ≥ 2). Meta-analyses of randomized and pseudo-randomized controlled trials, as well as meta-analyses based on between-group and within-group study designs were included." (p. 2), Exclusion: "To avoid statistical problems by integrating cross-sectional and longitudinal data, only those meta-analyses were included in further analyses that provided effect sizes calculated as standardized mean difference rather than standardized mean change... We did not include cohort or case-control studies. Meta-analyses describing effect sizes only graphically were excluded"​ (p. 2)</t>
  </si>
  <si>
    <t>the corrected covered area (CCA):  "The CCA is a measure representing the overlap (relative coverage) of primary studies in the included meta-analyses: a CCA between 0 and 5 demonstrates slight overlap, 6 to 10 demonstrates moderate overlap, a score between 11 and 15 is considered high overlap, and &gt;15 very high overlap." (p. 4)</t>
  </si>
  <si>
    <t>"Meta-analyses with high overlap were first included in a general effect size estimation, and in the second step excluded for additional sensitivity analyses to examine the amount of influence on overall effects." (p. 4)</t>
  </si>
  <si>
    <t>"we combined effect sizes from individual meta-analyses using random-effects models by weighting each effect size by its inverse variance including within study variance (v) and the estimated random effects variance (tau²)." (p. 3)</t>
  </si>
  <si>
    <t>"Future meta-analyses should thus apply state-of-the-art guidelines like the Cochrane handbook (Higgins et al., 2021) or the updated PRISMA 2020 statement (Page et al., 2021) to improve the methodological quality of meta-analyses." (p. 11)</t>
  </si>
  <si>
    <t>(1) "One key challenge in conducting the present meta-meta-analysis was how to manage study overlap across different meta-analyses, because diverging views about dealing with this were involved" (p. 11), (2) "Another limitation is that several meta-analyses included primary studies with heterogenous control-groups", (3) "Finally, we started planning and conducting our meta-meta-analysis at a time in which no standard tool existed to assess the study quality of an individual meta-analysis." (p. 11)</t>
  </si>
  <si>
    <t>(1) Method for study overlap: "A special issue when analyzing meta-meta-analytic data is the possibility of overlapping primary studies in individual meta-analyses (see Appendix for further details). To ensure statistical independence of effect sizes, each primary study must be represented only once in the final analyses. There are several strategies to deal with primary study overlap. We created a citation matrix for every intervention and outcome separately to visualize the degree of overlap, and we calculated the corrected covered area (CCA). The CCA is a measure representing the overlap (relative coverage) of primary studies in the included meta-analyses: a CCA between 0 and 5 demonstrates slight overlap, 6 to 10 demonstrates moderate overlap, a score between 11 and 15 is considered high overlap, and &gt;15 very high overlap (Pieper, Antoine, Morfeld, Mathes, &amp; Eikermann, 2014)." (p. 4)</t>
  </si>
  <si>
    <t>"metaanalyses were required to report separate lab and field effect sizes, such as through a sub-group moderator analysis. Alternatively, we retained pairs of meta-analyses on the same topic when one reported an effect for lab studies and another for field studies." (p. 643)</t>
  </si>
  <si>
    <t>(1) Triangulation across methodological approaches: " These findings provide not only a foundation for evaluating lab and field effects across settings, but also further evidence that researchers should make every effort to triangulate findings across methodological approaches." (p. 668)</t>
  </si>
  <si>
    <t>(1) Disproportion of lab and field Meta-Analyses: "This is more than twice as many meta-analyses we identified as reporting separate field and lab effects. The disproportion in lab and field evidence represented at the meta-analytic level may exist because it is difficult to study certain organisational phenomena in lab settings (e.g., the effects of wellness programs in organisations; Parks &amp; Steelman, 2008)"​ (p 666). (2) Potential bias in literature representation: "Alternatively, relevant lab research in the organisational and adjacent literatures (e.g., social psychology) may have been ignored, possibly because of a perceived lack of generalisability"​ (p. 666). (3) The study relies on existing meta-analytic data, adding a layer of abstraction and removing it further from the richness of primary research data: "The richness of the primary data is often lost through meta-analysis, an issue exacerbated through second-order meta-analysis"​ (p. 667). (4) Inability to analyze variability in effect sizes: "For approximately half of the 203 pairs of effects variance estimates were either not reported at all or were reported as corrected estimates (p. 667)". (5) Homogeneity of samples: "For example, demonstrating greater consistency in lab-based effects might suggest that lab samples (typically student samples) represent a homogeneous population and support arguments that student data have limited generalisability to real-world settings"​.(p. 667)</t>
  </si>
  <si>
    <t>"Second-order meta-analysis assesses how much of the variance in mean effect sizes across different first-order meta-analyses of the same connection is due to second-order sampling error (variance) and uses this information to improve estimates found in individual firstorder meta-analyses (Schmidt &amp; Oh, 2013). In addition, second-order meta-analysis tests different models and is a methodological technique for improving generalisation because of the combination of the plethora of findings (Eisend, 2015). " (p. 2) and "Based on this inherent characteristic about customer relational benefits in marketing, we use a second-order meta-analytic technique to provide credibility and generalisability in this stream of research (Schmidt &amp; Oh, 2013). We employ a second-order meta-analysis to collect and code findings from the large number of first-order metaanalyses published in a 20-year span, between 2001 and 2021." (p. 2)</t>
  </si>
  <si>
    <t>exclusion: "we removed additional 4 meta-analytical papers that presented only one effect size with satisfaction and did not allow us to calculate the coefficients." (p. 6)</t>
  </si>
  <si>
    <t>"We combined the meta-analytic correlations using the recommendations by Schmidt and Oh (2013) for second-order meta-analyses that account for variance between meta-analyses."​ (p. 7)</t>
  </si>
  <si>
    <t>(1) Dependence on first-order Meta-Analyses: "Second-order meta-analysis assesses how much of the variance in mean effect sizes across different first-order meta-analyses is due to second-order sampling error."​ (p. 2)</t>
  </si>
  <si>
    <t>"Meta-analyses were excluded when they were solely carried out in a preventive setting." (p. 1026)</t>
  </si>
  <si>
    <t>"Meta-analyses with kadj less than or equal to three were subsequently excluded." (p. 1027)</t>
  </si>
  <si>
    <t>"The effect estimates of each meta-analysis were transformed to standardized mean differences (SMD). If a meta-analysis provided multiple effect sizes for one outcome, estimates were aggregated into a single effect size." (p. 1027)</t>
  </si>
  <si>
    <t xml:space="preserve">using objective data to confirm findings:The authors highlight the need for "empirically validated independent measures", and improving transparency in reporting ("We advise authors to provide all relevant information precisely and to adhere to high-quality standards when reporting on meta-analyses." (p. 1033)) </t>
  </si>
  <si>
    <t>(1) High Heterogeneity: "The combination of various, independent studies inevitably increases the risk of heterogeneity due to the heterogeneous design of the different studies." (p. 1033), (2)Publication Bias: "The risk of bias was increased by the incomplete retrieval of unpublished studies. Moreover, funnel plot inspection showed evidence for publication bias." (p. 1033), (3)  Imprecise reporting in primary studies: "Due to the lack of or insufficiently reported data in primary meta-analyses, extracted data might be imprecise in some cases." (p. 1033), (4) Lack of guidelines for SOMAs: "Meta–meta-analyses are still novel and in their infancy. Existing studies come, for example, from the fields of educational psychology or medicine. As yet, no guidelines or quality standards for meta–meta-analyses exist." (p. 1033)</t>
  </si>
  <si>
    <t>"Questions remain about the magnitudes of [Conscientiousness’s] effect sizes across occupational variables, its defining characteristics and functions in occupational settings, and potential moderators of its performance relation. To address these questions, what is needed is a comprehensive, quantitative review and synthesis of C’s effects in occupational settings." (p. 23004)</t>
  </si>
  <si>
    <t>"For variables reporting multiple, independent effects, effects were combined using second-order meta-analysis." (p. 23009)</t>
  </si>
  <si>
    <t>(1) Dependence on the quality of included Meta-Analyses and missing data: "Several records did not report complete descriptive data, so some estimation and transformations were required." (p. 23009)</t>
  </si>
  <si>
    <t>to summarize the extensive research on extraversion and its work-related variables across a wide range of studies, providing a comprehensive synthesis to understand its effects. "To address this absence, we review extraversion’s relations to work variables as reported in existing meta-analyses. To illustrate the vast amount of evidence, we identify meta-analyses reporting relations to 165 variables" (p. 1448)</t>
  </si>
  <si>
    <t>"Specifically, it had to be (a) a meta-analysis (i.e., primary studies excluded);..." (p. 1449)</t>
  </si>
  <si>
    <t>"For variables reporting multiple effects, the effect from the newer or more comprehensive study was selected, and independent effects were combined by second-order meta-analysis" (p. 1450)</t>
  </si>
  <si>
    <t>(1) lack of exploration of moderators, mediators, and unmeasured variables: "All reported effects are zero-order correlations that may leave mediators, moderators, or other unmeasured variables undetected"​ (p. 1462)</t>
  </si>
  <si>
    <t>"The difficulty, however, is that the Agreeableness literature is massive—it encompasses effects for hundreds of variables, investigated across myriad studies, and reported in thousands of articles that are scattered throughout the research record. ... we present the largest, most comprehensive quantitative review of Agreeableness’ consequential effects available in the scholarly record" (p. 242-243)</t>
  </si>
  <si>
    <t>“Meta-analyses with evidence of overlapping primary studies were noted accordingly, but meta-analyses with evidence of non-redundancy were marked for potential second-order cumulation.” (p. 246)</t>
  </si>
  <si>
    <t>“Second-order meta-analysis extends psychometric meta-analysis by enabling the cumulation of independent meta-analytic estimates, which helps refine population parameter estimates and accounts for second-order sampling error.”​ (p. 247)</t>
  </si>
  <si>
    <t>"Meta-meta-analysis ... offers the following advantages to researchers, policymakers, and practitioners ... First, it provides a broader overview of evidence and thus more robust estimates of the effect of a particular factor or intervention program. Second, it allows examining trends and changes in research and methodology over time. Third, it helps to compare findings and identify discrepancies and agreements across multiple meta-analyses" (p. 2)</t>
  </si>
  <si>
    <t>"To be eligible for inclusion in this meta-meta-analysis, research must: ... (d) have reported sufficient information so that effect sizes and the standard errors of the estimate could be calculated" (p. 3)</t>
  </si>
  <si>
    <t>(1) Develop Methods to Address Overlap in Primary Studies: "There appears to be no clear guidance available to handle such an issue... methodological advances are needed regarding this issue" (p. 14)</t>
  </si>
  <si>
    <t>(1) Overlap in primary studies across meta-analyses: "There appears to be no clear guidance available to handle such an issue... methodological advances are needed regarding this issue" (p. 14) , (2) Lack of methodological rigor: "None of the included meta-analyses rigorously assessed the quality of each primary study" (p. 10), (3) Reliance on observational studies: "The included meta-analyses in our study were almost entirely based on observational studies" (p. 14)</t>
  </si>
  <si>
    <t>(1) k: Here, we took the more conservative estimate of 34x 12 = 408, based on the following sentence: "On average, each meta-analysis included about 34 empirical studies"​ (p. 5). Alternatively, table 1 has a column N of studies, which we could sum up to reach a total of 543 included studies.</t>
  </si>
  <si>
    <t>"The purpose of this study was to aggregate high-quality evidence from randomized trials and quantify the effects of VR training on the exercise performance of these patients. Meta-meta-analysis is the meta-analysis of meta-analyses and follows the primary outcome research." (p. 2)</t>
  </si>
  <si>
    <t>"A meta-analysis with kadj ≤3 was excluded" (p. 3)</t>
  </si>
  <si>
    <t>"The effect size of each meta-analysis was converted into a standardized mean difference (SMD) to obtain the overall effect size. Comprehensive Meta-Analysis (CMA) software 2.0 was used to combine the effect size. CMA is a weighted estimation of effect size based on the method by DerSimonian and Laird. " (p. 3)</t>
  </si>
  <si>
    <t>(1) "Nevertheless, there were still some limitations in this study. First, the retrieval language was confined to English or Chinese; thus, publications in other languages may have been missed. Second, since this meta-meta-analysis was based on previously published meta-analysis articles, primary research without meta-analysis may be omitted. Finally, our primary problem was that the results showed a high degree of statistical heterogeneity. Therefore, the results should be interpreted with caution" (p. 9)</t>
  </si>
  <si>
    <t>While they do not conduct moderator analysis or sensitivity analysis, the aknowledge it: "Because of the small number of included studies, further subgroup analysis and sensitivity analysis were not conducted in this study" (p. 3)</t>
  </si>
  <si>
    <t>inclusion: "The study provided an average effect size or data to compute the average impact size." (p. 7), exclusion: "Meta-analysis that lacked adequate data for the calculation of effect size were excluded" (p. 7)</t>
  </si>
  <si>
    <t>"removed the studies with the highest overlap rate and then calculated the overlap rate of the remaining studies, repeating the deletion process until the overlap of each study reached the expected cut-off level." (p. 8)</t>
  </si>
  <si>
    <t>"We will delete the study with the highest overlap rate, and we will repeat the above process for the remaining studies until the overlap rate in each meta-analysis is controlled at a certain level (i.e., 50% and 25%)." (p. 14)</t>
  </si>
  <si>
    <t>overall quality score: "Finally, a total score of 16 to 23 points is got, showing a good or moderate quality of the articles." (p. 7)</t>
  </si>
  <si>
    <t>"The calculation of the combined effect size involved importing the converted effect size, standard errors or confidence intervals, sample sizes, and moderator data into CMA3.7." (p. 8) and "These different effect sizes were uniformly transformed into Hedges’ g by the following formula to correct the bias of small samples."​ (p. 8)</t>
  </si>
  <si>
    <t>(1) "Future second-order meta-analysis studies should search for more new moderating variables... " (p. 18)</t>
  </si>
  <si>
    <t>(1) "All moderators included had to depend on the moderating variables extracted from the first-order meta-analyses, resulting in limited moderators." (p. 18)</t>
  </si>
  <si>
    <t>"Given the impracticality of conducting a traditional meta-analysis of 30 years of research, it is more reasonable to conduct a “meta-analysis of meta-analyses” or second-order meta-analysis. The results of prior meta-analyses provide credence to the use of technology-enhanced teaching methods in the mathematics classroom. However, overarching cumulative conclusions for general effect size estimates remain elusive. A summary of effects across prior meta-analyses supports future research and practice in this area. Thus, the purpose of this study is to utilize a second-order meta-analysis procedure to synthesize the effects of technology-enhanced instruction on student achievement in mathematics" (p. 21)</t>
  </si>
  <si>
    <t>"3. Reported an average effect size or sufficient data to calculate an average effect size; and 4. Was conducted during or after 1985 and was publically accessible." (p. 24)</t>
  </si>
  <si>
    <t>"Three particular studies overlapped by more than 50% across the included primary studies. Therefore, the most recent and representative study was retained, and the other studies were removed from the analysis"​ (p. 24)</t>
  </si>
  <si>
    <t>"A random effects weighted mean of 0.39 [0.32, 0.47], p &lt; 0.001 was observed for the 240 individual effect sizes" (p. 25)</t>
  </si>
  <si>
    <t>(1) Improvement in methodological rigor: "It is important that more studies assess the influence of methodological rigor on effect size attenuation"​ (p. 27), (2) Evolution of meta-analytic methods: "The accumulation and aggregation of effect sizes must improve and evolve to support policy and praxis" (p. 28), (3) Contextualized interpretation of effect sizes: "A more contextualized approach to effect size interpretation is recommended"​ (p. 27)</t>
  </si>
  <si>
    <t>(1) Overlap in studies: "It is often impossible to eliminate the overlap between first-order meta-analyses" (p. 24)​, (2) Restricted moderator analyses: "The moderator analyses are restricted by the availability of common study features across first-order meta-analyses"​ (p. 27)</t>
  </si>
  <si>
    <t xml:space="preserve"> to be included, articles had to provide at least one meta-analytic effect indexing the relation between self- esteem and health or well-being. We further excluded any paper that did not provide a meta-analytic effect indexing the association between self- esteem and health or well-being (p. 3)</t>
  </si>
  <si>
    <t>"Despite the large number of published meta-analytic reviews on nutrition labeling to date, the literature is still not clear on the effect of nutrition labels on consumer behavior. Considering that first-order meta-analysis is viewed as the gold standard in establishing the generalizability of an effect, the inconsistency in the results across published meta-analytic reviews leaves many questions open regarding the effectiveness of nutrition label interventions ... The aim of the present study is to synthesize existing meta-analytic research findings using the novel methodological approach of a second-order meta-analysis and provide a comprehensive, definitive answer on the “big picture” effect of nutrition labeling on consumption behavior. A second-order meta-analysis, or meta-meta-analysis, enables researchers to synthesize the results of traditional, first-order meta-analyses (Eisend 2015; Peterson 2001) and to resolve discrepancies among existing meta-analytic reviews. In our context it enables us to compare the effectiveness of different types of nutrition labeling interventions and provide a synthesis of the discrepancies among existing meta-analyses on nutrition label effects" (p. 77)</t>
  </si>
  <si>
    <t>"A published first-order meta-analysis was deemed eligible for inclusion if (1) it explored the effect of the inclusion of a label that provided information on the healthiness or unhealthiness of the food against a control or comparison group that was not exposed to any type of nutrition label, (2) it reported results for an intervention group (label) and a control or comparison group (no label), (3) the aim of the label intervention was to either discourage consumption of unhealthy foods (an effect capturing a prevention aim) or encourage consumption of healthy foods (an effect capturing a promotion aim), and (4) it reported on consumer behavior outcomes that included either what was chosen or selected... or whether the item was consumed" (p. 83)</t>
  </si>
  <si>
    <t xml:space="preserve">(1) Developing methods to address primary-study overlap: "There still exists no complete statistical methodological approach to address the potential inclusion of primary studies that overlap across individual first-order, primary meta-analyses selected for inclusion in the second-order meta-analysis" (p. 90), (2) Combining Second-Order Meta-Analysis with omnibus Meta-Analysis: "Future research could also examine the combination of a second-order meta-analysis and an omnibus meta-analysis." (. 90), (3) Exploring interaction effects between aims and moderators: "It would be beneficial for primary studies examining label effectiveness to further explore the effect of framing of the aim of the intervention and its interaction with some of the significant moderators identified in our analysis" (p. 90)
</t>
  </si>
  <si>
    <t xml:space="preserve">(1) Overlap of primary studies: "While the use of second-order meta-analysis provides several advantages, there still exists no complete statistical methodological approach to address the potential inclusion of primary studies that overlap across individual first-order, primary meta-analyses selected for inclusion in the second-order meta-analysis (Schmidt and Oh [2013]; however, see Bom and Rachinger [2020] for a method that handles some of the issues presented)." (p. 90), (2) Variability in first-order Meta-Analyses: "Additionally, the variability in hypotheses, search strategies, and inclusion criteria in each first-order meta-analysis (Stegenga 2011) may result in a less-than-perfect set of independent samples to be combined in the second-order meta-analysis." (p. 90), (3) Interaction Effects: "Furthermore, as our second-order meta-analysis included two independent sets of data across prevention- and promotion-focused aims of the intervention, we were unable to examine interaction effects between the label aim and our moderators." (p. 90)
</t>
  </si>
  <si>
    <t>second-order meta-analysis. This approach adjusts for second-order sampling error and weights the first-order meta-analytic estimates optimally based on their random-effect sampling error. We followed the second-order meta-analysis procedure outlined by Schmidt and Oh (2013)... This advanced research method can contribute to a better understanding of overall job performance based on cumulative evidence (p. 100, p. 98)</t>
  </si>
  <si>
    <t>Meta-analyses with 25% or less overlap across studies were included. selected the meta-analysis with the most studies and participants or the most recent meta-analysis.​ (p. 2017)</t>
  </si>
  <si>
    <t>(1) advocate for the strategic inclusion of single-gender studies to enhance the reliability of detecting moderators in meta-meta-analysis: Our article also points to the value of single-gender primary studies. Because gender proportions are often similar, the inclusion of even a single all-male or all-female sample increases between-study variance in gender proportion dramatically. This leads to much greater power for meta-analytic tests of moderation (p. 10-11)</t>
  </si>
  <si>
    <t>(1) study overlap: "Some meta-analyses had overlapping samples because they included some of the same studies, which violates the meta-analytical assumption of independence." (p. 2017), (2) publication bias: "Published research is more likely to be positive or significant, and report larger effects, than unpublished work... This can lead to overestimation of the magnitude of effects." (p. 2013),  (3) Heterogeneity Across Meta-Analyses: "Meta-analyses vary in statistical methods employed to aggregate data, such as the quality of search methods, inclusion criteria, and statistical methods used for data aggregation." (p. 2013), (4) High variability between effect sizes as indicated by  heterogeneity across meta-analyses, (5) Dependence on Cohen’s d: "Cohen’s d also has its limitations because how it is calculated can produce different values and interpretations." (p. 2024), (6) Underrepresentation of developmental Meta-Analyses: "We did not identify any meta-analyses of case-control/cohort or longitudinal designs. The lack of developmental meta-analyses of White–minority differences is an important weakness of the field." (p. 2024)</t>
  </si>
  <si>
    <t>SOMA allows for the synthesis of findings from multiple meta-analyses, providing a more comprehensive and generalized understanding of the impact of constructivist learning models on student outcomes. The authors observed that individual meta-analyses produced varying effect sizes, which indicated the need for a broader evaluation: "The second-order meta-analysis method allows combining and evaluating more than one meta-analysis research. As the purpose of this study is to generally evaluate the effects of constructivist learning models on student outcomes, second-order meta-analysis is preferred." (p. 942)</t>
  </si>
  <si>
    <t>the authors conducted a systematic review of meta-analyses to provide a comprehensive picture: "This article provides a systematic review of 125 meta-analyses that examined how strongly certain student and instructional variables were associated with different aspects of academic motivation. Such a systematic review allowed us to integrate the disparate findings from the individual meta-analyses to provide a comprehensive picture of the strength of the relations they reported. This review also provides guidance regarding how to foster positive academic motivation in school; these implications are discussed at the end of this article." (p. 2) "Systematic reviews of meta-analyses can help to merge the traditions within one research field (see Alexander, 2020, and Schneider &amp; Preckel, 2017, for a discussion of this method). What can systematic reviews of meta-analyses contribute to the existing meta-analytic research? First, systematic reviews make it possible to compare meta-analytic effect sizes. Second, systematic reviews can support the results of meta-analyses by calculating mean effect sizes and conducting heterogeneity analyses. Confirm- ing meta-analytic results is especially important, as meta-analyses are very influential in the research community (Alexander, 2020; see also Schneider &amp; Preckel, 2017). Third, systematic reviews help researchers to find relevant literature and to identify critical ques- tions and suitable methods for future studies. Fourth, by reviewing meta-analyses in a particular research field, researchers can glean insights into the directions in which the field is headed. Fifth, there being sufficient research on a particular topic is one indication that the topic is of value to the field. Sixth, reviews can provide important insights into the generalizability and limitations of studies in the field. Taking this to the next level, if there are numerous meta- analyses on a given topic, this is an even stronger indication of that topic’s relevance, and reviewing those meta-analyses provides a comprehensive look at the state of knowledge regarding that topic. Seventh, reviews of meta-analyses can contribute to the debate about which effect sizes are small, medium, or large by providing the distribution of effect sizes in a given field. A systematic review can provide robust benchmarks that are important, as relevance and size can vary greatly between research fields and both aspects need to be evaluated specifically within the research context (see Funder &amp; Ozer, 2019; Kraft, 2020). Thus, a systematic review of research can provide valuable insights into topics relevant to current public discourse; in this review, we aimed to address a few of these topics. We extended the systematic review approach by computing mean effect sizes. Averaging effect sizes reduces the complexity of findings and makes the results more comprehensible. It also facil- itates a summary of the results found in this research field, based on a large meta-analytic data set." (p. 5)</t>
  </si>
  <si>
    <t>suggestions include studying contextual moderators, nonlinear relationships, intrapersonal variability, and interactive effects among different personality traits</t>
  </si>
  <si>
    <t xml:space="preserve">"Multivariate random-effects meta-analysis is an extension of univariate meta-analysis (Jackson, Riley, &amp; White, 2011). It is a hierarchical model to handle dependent effect size estimates nested within studies […]" </t>
  </si>
  <si>
    <t>"… Hunter–Schmidt procedures to estimate the variance attributable to sampling and measurement error, which were subtracted from the observed variance." (p. 1451) "We first update all effects using a common set of statistical corrections and, when possible, combine independent estimates using second-order meta-analysis" (p. 1447)</t>
  </si>
  <si>
    <t>"The effect from the more comprehensive meta-analysis was used." (p. 1450)</t>
  </si>
  <si>
    <t>"When multiple, non-overlapping meta-analyses report effects to the same variable, we combine them by second-order meta-analysis (15)." (p. 23004)</t>
  </si>
  <si>
    <t>"First, m summarizes the number of contributing first-order meta-analyses. Next, the grand mean correlation ðρ M Þ and its associated variance (VARTrue) are estimates of second-order population parameters, having accounted for measurement error and second-order sampling error." (p. 23009)</t>
  </si>
  <si>
    <t>a record had to "...be 1) a meta-analysis, ... 4) that reported the zero-order relation of C to at least one work relevant variable “ (p. 23009)</t>
  </si>
  <si>
    <t>Overlap amount</t>
  </si>
  <si>
    <t>overlap_amount</t>
  </si>
  <si>
    <t>Reasoning category</t>
  </si>
  <si>
    <t xml:space="preserve">Resolving Inconsistencies </t>
  </si>
  <si>
    <t>Comprehensive Synthesis</t>
  </si>
  <si>
    <t>Methodological Improvement</t>
  </si>
  <si>
    <t>Informing Policy and Practice</t>
  </si>
  <si>
    <t>Benchmarking and Standardizing</t>
  </si>
  <si>
    <t xml:space="preserve">Guiding Future Research </t>
  </si>
  <si>
    <t>reasoning_cat</t>
  </si>
  <si>
    <t>Explaining Variability</t>
  </si>
  <si>
    <t>cat_resolve</t>
  </si>
  <si>
    <t>cat_synthesize</t>
  </si>
  <si>
    <t>cat_explain</t>
  </si>
  <si>
    <t>cat_improve</t>
  </si>
  <si>
    <t>cat_inform</t>
  </si>
  <si>
    <t>cat_benchmark</t>
  </si>
  <si>
    <t>cat_guide</t>
  </si>
  <si>
    <t>(1) Resolving Inconsistencies, (3) Explaining Variability</t>
  </si>
  <si>
    <t>(2) Comprehensive Synthesis, (3) Explaining Variability, (4)	Methodological Improvement</t>
  </si>
  <si>
    <t>There was no overlap</t>
  </si>
  <si>
    <t>no reported</t>
  </si>
  <si>
    <t>(2) Comprehensive Synthesis</t>
  </si>
  <si>
    <t>?</t>
  </si>
  <si>
    <t>(3) Explaining Variability, (4) Methodological Improvement</t>
  </si>
  <si>
    <t>(4) Methodological Improvement</t>
  </si>
  <si>
    <t>(1) Resolving Inconsistencies</t>
  </si>
  <si>
    <t>(1) Resolving Inconsistensies, (2) Comprehensive Synthesis</t>
  </si>
  <si>
    <t>(2) Comprehensive Synthesis, (3) Explaining Variability</t>
  </si>
  <si>
    <t>(2) Comprehensive Synthesis, (6) Benchmarking and Standardizing</t>
  </si>
  <si>
    <t>(2) Comprehensive Synthesis, (4) Methodological Improvement</t>
  </si>
  <si>
    <t>(7) Guiding Future Research</t>
  </si>
  <si>
    <t>(3) Explaining Variability</t>
  </si>
  <si>
    <t>(2) Comprehensive Synthesis, (4) Methodological Improvement, (5) Informing Policy and Practice, (6) Benchmarking and Standardizing, (7) Guiding Future Research</t>
  </si>
  <si>
    <t>(2) Comprehensive Synthesis, (4) Methodological Improvement, (5) Informing Policy and Practice</t>
  </si>
  <si>
    <t>(1) Resolving Inconsistencies, (4) Methodological Improvement, (5) Informing Policy and Practice</t>
  </si>
  <si>
    <t>(4) Methodological Improvement, (6) Benchmarking and Standardizing</t>
  </si>
  <si>
    <t>(1) Resolving Inconsistencies, (2) Comprehensive Synthesis</t>
  </si>
  <si>
    <t>(1) Comprehensive Synthesis</t>
  </si>
  <si>
    <t>(2) Comprehensive Synthesis, (3) Explaining Variability, (7) Guiding Future Research</t>
  </si>
  <si>
    <t>(2) Comprehensive Synthesis, (3) Explaining Variability, (4) Methodological Improvement</t>
  </si>
  <si>
    <t>(1) Reasolving Inconsistencies, (2) Comprehensive Synthesis, (7) Guiding Future Research</t>
  </si>
  <si>
    <t>(1) Resolving Inconsistencies, (2) Comprehensive Synthesis, (4) Methodological Improvement, (7) Guiding Future Research</t>
  </si>
  <si>
    <t>(1) Resolving Inconsistencies, (2) Comprehensive Synthesis, (3) Explaining Variability</t>
  </si>
  <si>
    <t>(1) Resolving Inconsistencies, (2) Comprehensive Synthesis, (4) Methodological Improvement, (5) Informing Policy and Practice</t>
  </si>
  <si>
    <t>(2) Comprehensive Synthesis, (7) Guiding Future Research</t>
  </si>
  <si>
    <t>not reported, 6 studies were excluded due to an overlap of more than 25%.</t>
  </si>
  <si>
    <t>Meta-analyses with 25% or less overlap across studies were included; additionally effects that included all meta-analyses regardless of overlap were determined.</t>
  </si>
  <si>
    <t>Meta-analysis with more than a 25% overlapping ratio are inclued if they are current and comprehensive (9 studies were included regardless of overlap, 8 studies were excluded)</t>
  </si>
  <si>
    <t>Meta-analyses with an overlap of less than 50% were included; when meta-analyses overlapped in 50% or more the results were only described narratively</t>
  </si>
  <si>
    <t>If there was a 50% or larger overlap only the meta-analyses with the larger sample size was included</t>
  </si>
  <si>
    <t>not reported, duplicate trials across the meta-analyses were removed</t>
  </si>
  <si>
    <t>not reported; all empirical study overlap in the validation sample was eliminated, if mean effect size of second-order meta-analysis is similar that indicates a valid representation of the aggregate effects of included primary meta-analyses</t>
  </si>
  <si>
    <t>no overlap (articles that included data that were also reported in a larger meta-analysis were excluded, so there was no overlap in studies represented in the meta-analyses.)</t>
  </si>
  <si>
    <t>the overall ratio of overlapping primary studies to all primary studies is 11.2%.</t>
  </si>
  <si>
    <t>"The research in the present study contributes to these efforts to distinguish ‘what works better’ and to contribute to the meta-analytic tradition in criminal justice. It is anticipated that the results will enhance the existing evidence and provide a rationale for further research and wider dissemination of successful programms... This study moves to a more extended assessment of the effects of interventions by adding more meta-analyses of intervention programmes for juveniles in prison, jail, probation, or parole settings. Specifically, it is of interest to examine and compare the effect sizes across differing intervention programmes in order to determine how interventions have performed across populations." (p. 173)</t>
  </si>
  <si>
    <t>(2) Comprehensive Synthesis, (4) Methodological Improvement, (7) Guiding Future Research</t>
  </si>
  <si>
    <t>Comparing effect sizes schon genug für Kategorie 1?</t>
  </si>
  <si>
    <t>the highest overlap was 20%</t>
  </si>
  <si>
    <t>cutoff levels were at 50% as well as 25% (procedure: calculation of percentage of overlapping primary studies for each meta-analysis; specific meta-analyses were sequentially removed to reduce overlap: meta-analysis was removed if it had the highest percentage of overlap among remaining studies, this process was repeated until the overlap for each study reached a desired cutoff level)</t>
  </si>
  <si>
    <t>not reported; thirty meta-analyses contained k = 1248 unique primary studies; the vast majority of primary studies, 86.1% (k = 1,074), were included in one meta-analysis, 11.6% (k = 145) in two meta-analyses, 1.5% (k = 19) in three meta-analyses, 0.5% (k = 6) in four meta-analyses, 0.3% (k = 3) in five meta-analyses, and 0.1% (k = 1) in six meta-analyses. Primary study overlap was corrected.</t>
  </si>
  <si>
    <t>"recent meta-analyses have yielded mixed results. ... To provide more clarity on the magnitude and robustness of the RA-outcome association – and thus the risk of RA bias – the aim of this re- search was to conduct an overview of reviews and meta-meta-analysis, summarizing all available meta-analytic estimates of the RA-outcome association. ... In contrast to conducting a new meta-analysis and reporting a further estimate of the RA-outcome association, employing meta-meta-analysis allows (a) including evidence from a large number of primary studies covering different interventions and populations and (b) studying variation in the RA-outcome associa- tion associated with different substantive and methodological variables....Thus, this meta-meta-analysis investigated potential moderators of
the RA-outcome association, including characteristics of treatments, populations, primary studies, meta-analyses, and type of RA measure" (p. 501-502)</t>
  </si>
  <si>
    <t>yes wegen der "mixed results"?</t>
  </si>
  <si>
    <t>given reviews each assessed different design principles, there was no overlap between reviews and therefore no correction required for overlap</t>
  </si>
  <si>
    <t xml:space="preserve">not reported; nine meta-analyses were excluded because they contained fewer than three unique primary studies </t>
  </si>
  <si>
    <t xml:space="preserve">not reported; all meta-analyses had at least 75% unique primary studies </t>
  </si>
  <si>
    <t>two meta-analytical studies had an overlap over 26% but were kept due to the small number of other studies; the overlap of the other studies did not exceed 25%</t>
  </si>
  <si>
    <t xml:space="preserve">not reported; for each meta-meta-analysis correction of primary study overlap was executed by determination of uniqueness values </t>
  </si>
  <si>
    <t>not reported; a meta-analysis whose overlapping ratio is greater than 25% is preferred for this study; the 10 included studies had minimal overlap, 9 studies were excluded due to overlap</t>
  </si>
  <si>
    <t>The authors state that second-order meta-analyses are a method used for synthesizing the findings of first-order meta-analysis research; this research study aims to utilize a second-order meta-analysis procedure to examine the effects of inquiry-based learning model (IBLM) on learning outcomes. </t>
  </si>
  <si>
    <t>(2) Comprehensive Synthesis, (5) Informing Policy and Practice</t>
  </si>
  <si>
    <t>the amount of overlap was between 5 and 43%</t>
  </si>
  <si>
    <t>no overlap (only one meta-analyses per population and training was chosen)</t>
  </si>
  <si>
    <t>no overlap as only the most recent meta-analyses was included when there was an overlap; 20 effect sizes and eight meta-analyes were excluded from the analyses due to overlap</t>
  </si>
  <si>
    <t xml:space="preserve">overlap in the 10 comparison meta-analyses and the reference meta-analyses ranged from 0% to 86.7%, 10 of the 13 (76.9%) meta-analyses had at least moderate or high degree of study overlap </t>
  </si>
  <si>
    <t>17 studies had no overlap, 12 studies did contain overlap with less than 28%, 7 meta-analyses used the same sample but were included as each reported results for a different health outcome, 11 meta-analyses with overlap from 50 to 100% were excluded</t>
  </si>
  <si>
    <t>not reported; the highest overlapping meta-analyses were removed unitl 25% or less of overlap was attained</t>
  </si>
  <si>
    <t>not reported, if overlap existed only one of the interdependent studies was chosen for the analyses</t>
  </si>
  <si>
    <t>low level of overlap from 3.71 - 16.41%</t>
  </si>
  <si>
    <t xml:space="preserve">Corrected covered area (CCA, represents degree of study overlap between included meta-analyses) was 4% for entire matrix of included primary studies. Also CCA between each pair of meta-analyses was calculated and studies with overlap of over 15% were excluded. Additionally a complementary measure of overlap was computed, meta-analyses were sequentially excluded until each meta-analyses contributed more than 25% of unique primary studies </t>
  </si>
  <si>
    <t>Corrected covered area (CCA, represents degree of study overlap between included meta-analyses) was computed and ranged from slight for pharmacological intervention to very high for parent-rated psychological interventions; CCA from 1.17 - 12.50; by exclusion of the meta-analyses with the highest overlap CCA was reduced to 4.76 (= low overlap)</t>
  </si>
  <si>
    <t>"However, the observed effects are heterogeneous, with small to large effect sizes. Therefore, the “true” effectiveness of parent-based interventions on parental characteristics remains unclear. Due to the observed heterogeneity in the effectiveness of parent-based interventions on parental characteristics, the aim of the present study is to conduct a meta–meta-analysis to summarize all existing meta-analytic estimates on this topic to provide more clarity on the magnitude of effectiveness. ... The advantage of this meta–meta-analytic approach is that it is based on a larger database than primary outcome studies. Furthermore, variability between meta-analyses can be assessed." (p. 1026)</t>
  </si>
  <si>
    <t xml:space="preserve">(1) Resolving Inconsistencies, (2) Comprehensive Synthesis, (3) Explaining Variability, </t>
  </si>
  <si>
    <t>reicht es schon aus, dass die Data-Base größer ist um methodological improvement herbeizuführen?</t>
  </si>
  <si>
    <t>not reported; when a primary study was included multiple times adjusted values were calculated for correction</t>
  </si>
  <si>
    <t>no overlap</t>
  </si>
  <si>
    <t>not reported; overlap was corrected</t>
  </si>
  <si>
    <t>percentage of overlap had a range of 0 - 69% in the meta-analyses (not reported in fulltext bun in table 4)</t>
  </si>
  <si>
    <t>the overall number of overlapping studies was initially 20.8%, three studies overlapped more than 50%. Only the most recent study was kept which reduced the overall percentage of overlap down to 13.8%</t>
  </si>
  <si>
    <t>" The existence of multiple meta-analyses that examine SRTT performance provides a unique opportunity to compare the status of procedural learning impairments across multiple disorders, using second-order meta-analysis.In second-order meta-analysis, results of multiple meta-analyses are combined. While second order meta-analysis has been widely used in the field of organisational/industrial psychology... to our knowledge this is the first report to apply this technique to summarising research in the field of neuropsychology." The authors used this method to "quantitatively summarise past research" and test "whether disorder type moderates performance on the SRTT"​ (p. 41)</t>
  </si>
  <si>
    <t>yes?</t>
  </si>
  <si>
    <t>Es geht um die overview über Methoden und nicht um die Verbesserung der Methoden selbst, azählt das dann trotzdem dazu?</t>
  </si>
  <si>
    <t>unpublished</t>
  </si>
  <si>
    <t>the amount of overlap was less than 16%, M = 7%, SD = 5%, range = 2% to 15%</t>
  </si>
  <si>
    <t>Mean</t>
  </si>
  <si>
    <t>Min</t>
  </si>
  <si>
    <t>Max</t>
  </si>
  <si>
    <t>qual</t>
  </si>
  <si>
    <t>Year</t>
  </si>
  <si>
    <t>Pulication</t>
  </si>
  <si>
    <t>COUNTIF yes</t>
  </si>
  <si>
    <t>COUNTIF not reported</t>
  </si>
  <si>
    <t>COUNTIF REM</t>
  </si>
  <si>
    <t>X</t>
  </si>
  <si>
    <t>Finished_Studies</t>
  </si>
  <si>
    <t>Book, What to do?</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</si>
  <si>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</si>
  <si>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</si>
  <si>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</si>
  <si>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</si>
  <si>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</si>
  <si>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</si>
  <si>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</si>
  <si>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</si>
  <si>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</si>
  <si>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</si>
  <si>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</si>
  <si>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</si>
  <si>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</si>
  <si>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</si>
  <si>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</si>
  <si>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</si>
  <si>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</si>
  <si>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</si>
  <si>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</si>
  <si>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</si>
  <si>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</si>
  <si>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</si>
  <si>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</si>
  <si>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</si>
  <si>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</si>
  <si>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NA</t>
  </si>
  <si>
    <t>NB !! Check OSF</t>
  </si>
  <si>
    <t>Tan (2024)</t>
  </si>
  <si>
    <t>Tan et al. (2025)</t>
  </si>
  <si>
    <t>Van Patten et al. (2025)</t>
  </si>
  <si>
    <t>Yi et al. (2025)</t>
  </si>
  <si>
    <t>Zell &amp; Stockus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</si>
</sst>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7]General"/>
  </numFmts>
  <fonts count="25">
    <font>
      <sz val="12"/>
      <color theme="1"/>
      <name val="Aptos Narrow"/>
      <family val="2"/>
      <scheme val="minor"/>
    </font>
    <font>
      <sz val="11"/>
      <color theme="1"/>
      <name val="Aptos Narrow"/>
      <family val="2"/>
      <scheme val="minor"/>
    </font>
    <font>
      <sz val="12"/>
      <color rgb="FF000000"/>
      <name val="Calibri"/>
      <family val="2"/>
    </font>
    <font>
      <sz val="12"/>
      <name val="Arial"/>
      <family val="2"/>
    </font>
    <font>
      <b/>
      <sz val="12"/>
      <name val="Arial"/>
      <family val="2"/>
    </font>
    <font>
      <sz val="12"/>
      <color theme="1"/>
      <name val="Arial"/>
      <family val="2"/>
    </font>
    <font>
      <b/>
      <sz val="12"/>
      <color theme="1"/>
      <name val="Arial"/>
      <family val="2"/>
    </font>
    <font>
      <sz val="8"/>
      <name val="Aptos Narrow"/>
      <family val="2"/>
      <scheme val="minor"/>
    </font>
    <font>
      <strike/>
      <sz val="12"/>
      <color theme="1"/>
      <name val="Arial"/>
      <family val="2"/>
    </font>
    <font>
      <sz val="8"/>
      <color theme="1"/>
      <name val="MinionPro"/>
    </font>
    <font>
      <sz val="14"/>
      <color rgb="FF000000"/>
      <name val="-webkit-standard"/>
    </font>
    <font>
      <sz val="12"/>
      <color rgb="FF006100"/>
      <name val="Aptos Narrow"/>
      <family val="2"/>
      <scheme val="minor"/>
    </font>
    <font>
      <sz val="12"/>
      <color rgb="FFFF0000"/>
      <name val="Arial"/>
      <family val="2"/>
    </font>
    <font>
      <sz val="8"/>
      <color rgb="FF141413"/>
      <name val="Times"/>
    </font>
    <font>
      <sz val="10"/>
      <color theme="1"/>
      <name val="Times New Roman"/>
      <family val="1"/>
    </font>
    <font>
      <b/>
      <sz val="12"/>
      <color rgb="FFFA7D00"/>
      <name val="Aptos Narrow"/>
      <family val="2"/>
      <scheme val="minor"/>
    </font>
    <font>
      <sz val="8"/>
      <color rgb="FF000000"/>
      <name val="Helvetica"/>
      <family val="2"/>
    </font>
    <font>
      <sz val="12"/>
      <color theme="6"/>
      <name val="Arial"/>
      <family val="2"/>
    </font>
    <font>
      <sz val="8"/>
      <color rgb="FF000000"/>
      <name val="Helvetica"/>
      <family val="2"/>
    </font>
    <font>
      <b/>
      <sz val="12"/>
      <color theme="1"/>
      <name val="Aptos Narrow"/>
      <family val="2"/>
      <scheme val="minor"/>
    </font>
    <font>
      <b/>
      <sz val="12"/>
      <color rgb="FFFF0000"/>
      <name val="Arial"/>
      <family val="2"/>
    </font>
    <font>
      <b/>
      <sz val="12"/>
      <color rgb="FFC00000"/>
      <name val="Arial"/>
      <family val="2"/>
    </font>
    <font>
      <sz val="12"/>
      <color rgb="FFC00000"/>
      <name val="Arial"/>
      <family val="2"/>
    </font>
    <font>
      <sz val="12"/>
      <color rgb="FF000000"/>
      <name val="Arial"/>
      <family val="2"/>
    </font>
    <font>
      <sz val="11"/>
      <color rgb="FF9C0006"/>
      <name val="Aptos Narrow"/>
      <family val="2"/>
      <scheme val="minor"/>
    </font>
  </fonts>
  <fills count="44">
    <fill>
      <patternFill patternType="none"/>
    </fill>
    <fill>
      <patternFill patternType="gray125"/>
    </fill>
    <fill>
      <patternFill patternType="solid">
        <fgColor rgb="FFE7DFD1"/>
        <bgColor indexed="64"/>
      </patternFill>
    </fill>
    <fill>
      <patternFill patternType="solid">
        <fgColor rgb="FFE0D2C6"/>
        <bgColor indexed="64"/>
      </patternFill>
    </fill>
    <fill>
      <patternFill patternType="solid">
        <fgColor rgb="FFD1B8AB"/>
        <bgColor indexed="64"/>
      </patternFill>
    </fill>
    <fill>
      <patternFill patternType="solid">
        <fgColor rgb="FFBAD7B3"/>
        <bgColor indexed="64"/>
      </patternFill>
    </fill>
    <fill>
      <patternFill patternType="solid">
        <fgColor rgb="FFC4DEC4"/>
        <bgColor indexed="64"/>
      </patternFill>
    </fill>
    <fill>
      <patternFill patternType="solid">
        <fgColor rgb="FFCEE4D2"/>
        <bgColor indexed="64"/>
      </patternFill>
    </fill>
    <fill>
      <patternFill patternType="solid">
        <fgColor rgb="FFD0D8E6"/>
        <bgColor indexed="64"/>
      </patternFill>
    </fill>
    <fill>
      <patternFill patternType="solid">
        <fgColor rgb="FFB4C6D6"/>
        <bgColor indexed="64"/>
      </patternFill>
    </fill>
    <fill>
      <patternFill patternType="solid">
        <fgColor rgb="FFABC4D1"/>
        <bgColor indexed="64"/>
      </patternFill>
    </fill>
    <fill>
      <patternFill patternType="solid">
        <fgColor rgb="FFCFB3D5"/>
        <bgColor indexed="64"/>
      </patternFill>
    </fill>
    <fill>
      <patternFill patternType="solid">
        <fgColor rgb="FFD9BCDA"/>
        <bgColor indexed="64"/>
      </patternFill>
    </fill>
    <fill>
      <patternFill patternType="solid">
        <fgColor rgb="FFE7D1E4"/>
        <bgColor indexed="64"/>
      </patternFill>
    </fill>
    <fill>
      <patternFill patternType="solid">
        <fgColor rgb="FFCFC0A5"/>
        <bgColor indexed="64"/>
      </patternFill>
    </fill>
    <fill>
      <patternFill patternType="solid">
        <fgColor rgb="FFC4AA92"/>
        <bgColor indexed="64"/>
      </patternFill>
    </fill>
    <fill>
      <patternFill patternType="solid">
        <fgColor rgb="FFB9917E"/>
        <bgColor indexed="64"/>
      </patternFill>
    </fill>
    <fill>
      <patternFill patternType="solid">
        <fgColor rgb="FF89B97E"/>
        <bgColor indexed="64"/>
      </patternFill>
    </fill>
    <fill>
      <patternFill patternType="solid">
        <fgColor rgb="FF92C492"/>
        <bgColor indexed="64"/>
      </patternFill>
    </fill>
    <fill>
      <patternFill patternType="solid">
        <fgColor rgb="FFA5CFAC"/>
        <bgColor indexed="64"/>
      </patternFill>
    </fill>
    <fill>
      <patternFill patternType="solid">
        <fgColor rgb="FFA5B4CF"/>
        <bgColor indexed="64"/>
      </patternFill>
    </fill>
    <fill>
      <patternFill patternType="solid">
        <fgColor rgb="FF92ACC4"/>
        <bgColor indexed="64"/>
      </patternFill>
    </fill>
    <fill>
      <patternFill patternType="solid">
        <fgColor rgb="FF7EA6B9"/>
        <bgColor indexed="64"/>
      </patternFill>
    </fill>
    <fill>
      <patternFill patternType="solid">
        <fgColor rgb="FFAE7EB9"/>
        <bgColor indexed="64"/>
      </patternFill>
    </fill>
    <fill>
      <patternFill patternType="solid">
        <fgColor rgb="FFC392C4"/>
        <bgColor indexed="64"/>
      </patternFill>
    </fill>
    <fill>
      <patternFill patternType="solid">
        <fgColor rgb="FFCFA5C9"/>
        <bgColor indexed="64"/>
      </patternFill>
    </fill>
    <fill>
      <patternFill patternType="solid">
        <fgColor rgb="FFCFC1A5"/>
        <bgColor indexed="64"/>
      </patternFill>
    </fill>
    <fill>
      <patternFill patternType="solid">
        <fgColor rgb="FFC4AA93"/>
        <bgColor indexed="64"/>
      </patternFill>
    </fill>
    <fill>
      <patternFill patternType="solid">
        <fgColor rgb="FFA5B4D0"/>
        <bgColor indexed="64"/>
      </patternFill>
    </fill>
    <fill>
      <patternFill patternType="solid">
        <fgColor rgb="FFC392C5"/>
        <bgColor indexed="64"/>
      </patternFill>
    </fill>
    <fill>
      <patternFill patternType="solid">
        <fgColor rgb="FFFFFF00"/>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rgb="FFC6EFCE"/>
      </patternFill>
    </fill>
    <fill>
      <patternFill patternType="solid">
        <fgColor rgb="FFF2F2F2"/>
      </patternFill>
    </fill>
    <fill>
      <patternFill patternType="solid">
        <fgColor theme="9" tint="-0.249977111117893"/>
        <bgColor indexed="64"/>
      </patternFill>
    </fill>
    <fill>
      <patternFill patternType="solid">
        <fgColor rgb="FFA6C9ED"/>
        <bgColor indexed="64"/>
      </patternFill>
    </fill>
    <fill>
      <patternFill patternType="solid">
        <fgColor theme="8" tint="0.79998168889431442"/>
        <bgColor indexed="64"/>
      </patternFill>
    </fill>
    <fill>
      <patternFill patternType="solid">
        <fgColor theme="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3" tint="0.249977111117893"/>
        <bgColor indexed="64"/>
      </patternFill>
    </fill>
    <fill>
      <patternFill patternType="solid">
        <fgColor rgb="FFFF6699"/>
        <bgColor indexed="64"/>
      </patternFill>
    </fill>
    <fill>
      <patternFill patternType="solid">
        <fgColor rgb="FFFFC7CE"/>
      </patternFill>
    </fill>
  </fills>
  <borders count="32">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164" fontId="2" fillId="0" borderId="0"/>
    <xf numFmtId="0" fontId="1" fillId="0" borderId="0"/>
    <xf numFmtId="0" fontId="11" fillId="33" borderId="0" applyNumberFormat="0" applyBorder="0" applyAlignment="0" applyProtection="0"/>
    <xf numFmtId="0" fontId="15" fillId="34" borderId="14" applyNumberFormat="0" applyAlignment="0" applyProtection="0"/>
    <xf numFmtId="0" fontId="24" fillId="43" borderId="0" applyNumberFormat="0" applyBorder="0" applyAlignment="0" applyProtection="0"/>
  </cellStyleXfs>
  <cellXfs count="205">
    <xf numFmtId="0" fontId="0" fillId="0" borderId="0" xfId="0"/>
    <xf numFmtId="164" fontId="3" fillId="2" borderId="1" xfId="1" applyFont="1" applyFill="1" applyBorder="1" applyAlignment="1">
      <alignment horizontal="left" vertical="center" wrapText="1"/>
    </xf>
    <xf numFmtId="164" fontId="3" fillId="3" borderId="1" xfId="1" applyFont="1" applyFill="1" applyBorder="1" applyAlignment="1">
      <alignment horizontal="left" vertical="center" wrapText="1"/>
    </xf>
    <xf numFmtId="164" fontId="3" fillId="4" borderId="1" xfId="1" applyFont="1" applyFill="1" applyBorder="1" applyAlignment="1">
      <alignment horizontal="left" vertical="center" wrapText="1"/>
    </xf>
    <xf numFmtId="164" fontId="3" fillId="5" borderId="1" xfId="1" applyFont="1" applyFill="1" applyBorder="1" applyAlignment="1">
      <alignment horizontal="left" vertical="center" wrapText="1"/>
    </xf>
    <xf numFmtId="164" fontId="3" fillId="6" borderId="1" xfId="1" applyFont="1" applyFill="1" applyBorder="1" applyAlignment="1">
      <alignment horizontal="left" vertical="center" wrapText="1"/>
    </xf>
    <xf numFmtId="164" fontId="3" fillId="7" borderId="1" xfId="1" applyFont="1" applyFill="1" applyBorder="1" applyAlignment="1">
      <alignment horizontal="left" vertical="center" wrapText="1"/>
    </xf>
    <xf numFmtId="164" fontId="3" fillId="8" borderId="1" xfId="1" applyFont="1" applyFill="1" applyBorder="1" applyAlignment="1">
      <alignment horizontal="left" vertical="center" wrapText="1"/>
    </xf>
    <xf numFmtId="0" fontId="3" fillId="10" borderId="1" xfId="0" applyFont="1" applyFill="1" applyBorder="1" applyAlignment="1">
      <alignment horizontal="left" vertical="center" wrapText="1"/>
    </xf>
    <xf numFmtId="164" fontId="3" fillId="11" borderId="1" xfId="1" applyFont="1" applyFill="1" applyBorder="1" applyAlignment="1">
      <alignment horizontal="left" vertical="center" wrapText="1"/>
    </xf>
    <xf numFmtId="0" fontId="3" fillId="12" borderId="1" xfId="0" applyFont="1" applyFill="1" applyBorder="1" applyAlignment="1">
      <alignment horizontal="left" vertical="center" wrapText="1"/>
    </xf>
    <xf numFmtId="164" fontId="4" fillId="14" borderId="2" xfId="1" applyFont="1" applyFill="1" applyBorder="1" applyAlignment="1">
      <alignment horizontal="left" vertical="center" wrapText="1"/>
    </xf>
    <xf numFmtId="164" fontId="4" fillId="15" borderId="2" xfId="1" applyFont="1" applyFill="1" applyBorder="1" applyAlignment="1">
      <alignment horizontal="left" vertical="center" wrapText="1"/>
    </xf>
    <xf numFmtId="164" fontId="4" fillId="16" borderId="2" xfId="1" applyFont="1" applyFill="1" applyBorder="1" applyAlignment="1">
      <alignment horizontal="left" vertical="center" wrapText="1"/>
    </xf>
    <xf numFmtId="164" fontId="4" fillId="17" borderId="2" xfId="1" applyFont="1" applyFill="1" applyBorder="1" applyAlignment="1">
      <alignment horizontal="left" vertical="center" wrapText="1"/>
    </xf>
    <xf numFmtId="164" fontId="4" fillId="18" borderId="2" xfId="1" applyFont="1" applyFill="1" applyBorder="1" applyAlignment="1">
      <alignment horizontal="left" vertical="center" wrapText="1"/>
    </xf>
    <xf numFmtId="164" fontId="4" fillId="19" borderId="2" xfId="1" applyFont="1" applyFill="1" applyBorder="1" applyAlignment="1">
      <alignment horizontal="left" vertical="center" wrapText="1"/>
    </xf>
    <xf numFmtId="164" fontId="4" fillId="20" borderId="2" xfId="1" applyFont="1" applyFill="1" applyBorder="1" applyAlignment="1">
      <alignment horizontal="left" vertical="center" wrapText="1"/>
    </xf>
    <xf numFmtId="0" fontId="3" fillId="13" borderId="8" xfId="0" applyFont="1" applyFill="1" applyBorder="1" applyAlignment="1">
      <alignment horizontal="left" vertical="center" wrapText="1"/>
    </xf>
    <xf numFmtId="0" fontId="3" fillId="13" borderId="6" xfId="0" applyFont="1" applyFill="1" applyBorder="1" applyAlignment="1">
      <alignment horizontal="left" vertical="center" wrapText="1"/>
    </xf>
    <xf numFmtId="0" fontId="4" fillId="25" borderId="9" xfId="0" applyFont="1" applyFill="1" applyBorder="1" applyAlignment="1">
      <alignment horizontal="left" vertical="center" wrapText="1"/>
    </xf>
    <xf numFmtId="0" fontId="4" fillId="25" borderId="2" xfId="0" applyFont="1" applyFill="1" applyBorder="1" applyAlignment="1">
      <alignment horizontal="left" vertical="center" wrapText="1"/>
    </xf>
    <xf numFmtId="0" fontId="4" fillId="25" borderId="10" xfId="0" applyFont="1" applyFill="1" applyBorder="1" applyAlignment="1">
      <alignment horizontal="left" vertical="center" wrapText="1"/>
    </xf>
    <xf numFmtId="0" fontId="3" fillId="12" borderId="8" xfId="0" applyFont="1" applyFill="1" applyBorder="1" applyAlignment="1">
      <alignment horizontal="left" vertical="center" wrapText="1"/>
    </xf>
    <xf numFmtId="0" fontId="3" fillId="12" borderId="6" xfId="0" applyFont="1" applyFill="1" applyBorder="1" applyAlignment="1">
      <alignment horizontal="left" vertical="center" wrapText="1"/>
    </xf>
    <xf numFmtId="0" fontId="4" fillId="24" borderId="9" xfId="0" applyFont="1" applyFill="1" applyBorder="1" applyAlignment="1">
      <alignment horizontal="left" vertical="center"/>
    </xf>
    <xf numFmtId="0" fontId="4" fillId="24" borderId="2" xfId="0" applyFont="1" applyFill="1" applyBorder="1" applyAlignment="1">
      <alignment horizontal="left" vertical="center"/>
    </xf>
    <xf numFmtId="0" fontId="4" fillId="24" borderId="10" xfId="0" applyFont="1" applyFill="1" applyBorder="1" applyAlignment="1">
      <alignment horizontal="left" vertical="center"/>
    </xf>
    <xf numFmtId="164" fontId="3" fillId="11" borderId="8" xfId="1" applyFont="1" applyFill="1" applyBorder="1" applyAlignment="1">
      <alignment horizontal="left" vertical="center" wrapText="1"/>
    </xf>
    <xf numFmtId="164" fontId="3" fillId="11" borderId="6" xfId="1" applyFont="1" applyFill="1" applyBorder="1" applyAlignment="1">
      <alignment horizontal="left" vertical="center" wrapText="1"/>
    </xf>
    <xf numFmtId="164" fontId="4" fillId="23" borderId="2" xfId="1" applyFont="1" applyFill="1" applyBorder="1" applyAlignment="1">
      <alignment horizontal="left" vertical="center" wrapText="1"/>
    </xf>
    <xf numFmtId="164" fontId="4" fillId="23" borderId="10" xfId="1" applyFont="1" applyFill="1" applyBorder="1" applyAlignment="1">
      <alignment horizontal="left" vertical="center" wrapText="1"/>
    </xf>
    <xf numFmtId="0" fontId="3" fillId="10" borderId="8" xfId="0" applyFont="1" applyFill="1" applyBorder="1" applyAlignment="1">
      <alignment horizontal="left" vertical="center" wrapText="1"/>
    </xf>
    <xf numFmtId="0" fontId="3" fillId="10" borderId="6" xfId="0" applyFont="1" applyFill="1" applyBorder="1" applyAlignment="1">
      <alignment horizontal="left" vertical="center" wrapText="1"/>
    </xf>
    <xf numFmtId="0" fontId="4" fillId="22" borderId="9" xfId="0" applyFont="1" applyFill="1" applyBorder="1" applyAlignment="1">
      <alignment horizontal="left" vertical="center" wrapText="1"/>
    </xf>
    <xf numFmtId="0" fontId="4" fillId="22" borderId="2" xfId="0" applyFont="1" applyFill="1" applyBorder="1" applyAlignment="1">
      <alignment horizontal="left" vertical="center" wrapText="1"/>
    </xf>
    <xf numFmtId="0" fontId="4" fillId="22" borderId="10" xfId="0" applyFont="1" applyFill="1" applyBorder="1" applyAlignment="1">
      <alignment horizontal="left" vertical="center" wrapText="1"/>
    </xf>
    <xf numFmtId="164" fontId="3" fillId="9" borderId="8" xfId="1" applyFont="1" applyFill="1" applyBorder="1" applyAlignment="1">
      <alignment horizontal="left" vertical="center" wrapText="1"/>
    </xf>
    <xf numFmtId="164" fontId="3" fillId="9" borderId="1" xfId="1" applyFont="1" applyFill="1" applyBorder="1" applyAlignment="1">
      <alignment horizontal="left" vertical="center" wrapText="1"/>
    </xf>
    <xf numFmtId="164" fontId="3" fillId="9" borderId="6" xfId="1" applyFont="1" applyFill="1" applyBorder="1" applyAlignment="1">
      <alignment horizontal="left" vertical="center" wrapText="1"/>
    </xf>
    <xf numFmtId="164" fontId="4" fillId="21" borderId="9" xfId="1" applyFont="1" applyFill="1" applyBorder="1" applyAlignment="1">
      <alignment horizontal="left" vertical="center" wrapText="1"/>
    </xf>
    <xf numFmtId="164" fontId="4" fillId="21" borderId="2" xfId="1" applyFont="1" applyFill="1" applyBorder="1" applyAlignment="1">
      <alignment horizontal="left" vertical="center" wrapText="1"/>
    </xf>
    <xf numFmtId="164" fontId="4" fillId="21" borderId="10" xfId="1" applyFont="1" applyFill="1" applyBorder="1" applyAlignment="1">
      <alignment horizontal="left" vertical="center" wrapText="1"/>
    </xf>
    <xf numFmtId="164" fontId="3" fillId="8" borderId="8" xfId="1" applyFont="1" applyFill="1" applyBorder="1" applyAlignment="1">
      <alignment horizontal="left" vertical="center" wrapText="1"/>
    </xf>
    <xf numFmtId="164" fontId="3" fillId="8" borderId="6" xfId="1" applyFont="1" applyFill="1" applyBorder="1" applyAlignment="1">
      <alignment horizontal="left" vertical="center" wrapText="1"/>
    </xf>
    <xf numFmtId="164" fontId="4" fillId="20" borderId="9" xfId="1" applyFont="1" applyFill="1" applyBorder="1" applyAlignment="1">
      <alignment horizontal="left" vertical="center" wrapText="1"/>
    </xf>
    <xf numFmtId="164" fontId="4" fillId="20" borderId="10" xfId="1" applyFont="1" applyFill="1" applyBorder="1" applyAlignment="1">
      <alignment horizontal="left" vertical="center" wrapText="1"/>
    </xf>
    <xf numFmtId="164" fontId="3" fillId="7" borderId="8" xfId="1" applyFont="1" applyFill="1" applyBorder="1" applyAlignment="1">
      <alignment horizontal="left" vertical="center" wrapText="1"/>
    </xf>
    <xf numFmtId="164" fontId="3" fillId="7" borderId="6" xfId="1" applyFont="1" applyFill="1" applyBorder="1" applyAlignment="1">
      <alignment horizontal="left" vertical="center" wrapText="1"/>
    </xf>
    <xf numFmtId="164" fontId="4" fillId="19" borderId="9" xfId="1" applyFont="1" applyFill="1" applyBorder="1" applyAlignment="1">
      <alignment horizontal="left" vertical="center" wrapText="1"/>
    </xf>
    <xf numFmtId="164" fontId="4" fillId="19" borderId="10" xfId="1" applyFont="1" applyFill="1" applyBorder="1" applyAlignment="1">
      <alignment horizontal="left" vertical="center" wrapText="1"/>
    </xf>
    <xf numFmtId="164" fontId="3" fillId="6" borderId="8" xfId="1" applyFont="1" applyFill="1" applyBorder="1" applyAlignment="1">
      <alignment horizontal="left" vertical="center" wrapText="1"/>
    </xf>
    <xf numFmtId="164" fontId="3" fillId="6" borderId="6" xfId="1" applyFont="1" applyFill="1" applyBorder="1" applyAlignment="1">
      <alignment horizontal="left" vertical="center" wrapText="1"/>
    </xf>
    <xf numFmtId="164" fontId="4" fillId="18" borderId="9" xfId="1" applyFont="1" applyFill="1" applyBorder="1" applyAlignment="1">
      <alignment horizontal="left" vertical="center" wrapText="1"/>
    </xf>
    <xf numFmtId="164" fontId="4" fillId="18" borderId="10" xfId="1" applyFont="1" applyFill="1" applyBorder="1" applyAlignment="1">
      <alignment horizontal="left" vertical="center" wrapText="1"/>
    </xf>
    <xf numFmtId="164" fontId="3" fillId="5" borderId="8" xfId="1" applyFont="1" applyFill="1" applyBorder="1" applyAlignment="1">
      <alignment horizontal="left" vertical="center" wrapText="1"/>
    </xf>
    <xf numFmtId="164" fontId="3" fillId="5" borderId="6" xfId="1" applyFont="1" applyFill="1" applyBorder="1" applyAlignment="1">
      <alignment horizontal="left" vertical="center" wrapText="1"/>
    </xf>
    <xf numFmtId="164" fontId="4" fillId="17" borderId="9" xfId="1" applyFont="1" applyFill="1" applyBorder="1" applyAlignment="1">
      <alignment horizontal="left" vertical="center" wrapText="1"/>
    </xf>
    <xf numFmtId="164" fontId="4" fillId="17" borderId="10" xfId="1" applyFont="1" applyFill="1" applyBorder="1" applyAlignment="1">
      <alignment horizontal="left" vertical="center" wrapText="1"/>
    </xf>
    <xf numFmtId="164" fontId="3" fillId="4" borderId="8" xfId="1" applyFont="1" applyFill="1" applyBorder="1" applyAlignment="1">
      <alignment horizontal="left" vertical="center" wrapText="1"/>
    </xf>
    <xf numFmtId="164" fontId="3" fillId="4" borderId="6" xfId="1" applyFont="1" applyFill="1" applyBorder="1" applyAlignment="1">
      <alignment horizontal="left" vertical="center" wrapText="1"/>
    </xf>
    <xf numFmtId="164" fontId="4" fillId="16" borderId="9" xfId="1" applyFont="1" applyFill="1" applyBorder="1" applyAlignment="1">
      <alignment horizontal="left" vertical="center" wrapText="1"/>
    </xf>
    <xf numFmtId="164" fontId="4" fillId="16" borderId="10" xfId="1" applyFont="1" applyFill="1" applyBorder="1" applyAlignment="1">
      <alignment horizontal="left" vertical="center" wrapText="1"/>
    </xf>
    <xf numFmtId="164" fontId="3" fillId="3" borderId="8" xfId="1" applyFont="1" applyFill="1" applyBorder="1" applyAlignment="1">
      <alignment horizontal="left" vertical="center" wrapText="1"/>
    </xf>
    <xf numFmtId="164" fontId="3" fillId="3" borderId="6" xfId="1" applyFont="1" applyFill="1" applyBorder="1" applyAlignment="1">
      <alignment horizontal="left" vertical="center" wrapText="1"/>
    </xf>
    <xf numFmtId="164" fontId="4" fillId="15" borderId="9" xfId="1" applyFont="1" applyFill="1" applyBorder="1" applyAlignment="1">
      <alignment horizontal="left" vertical="center" wrapText="1"/>
    </xf>
    <xf numFmtId="164" fontId="4" fillId="15" borderId="10" xfId="1" applyFont="1" applyFill="1" applyBorder="1" applyAlignment="1">
      <alignment horizontal="left" vertical="center" wrapText="1"/>
    </xf>
    <xf numFmtId="164" fontId="3" fillId="2" borderId="8" xfId="1" applyFont="1" applyFill="1" applyBorder="1" applyAlignment="1">
      <alignment horizontal="left" vertical="center" wrapText="1"/>
    </xf>
    <xf numFmtId="164" fontId="3" fillId="2" borderId="6" xfId="1" applyFont="1" applyFill="1" applyBorder="1" applyAlignment="1">
      <alignment horizontal="left" vertical="center" wrapText="1"/>
    </xf>
    <xf numFmtId="164" fontId="4" fillId="14" borderId="9" xfId="1" applyFont="1" applyFill="1" applyBorder="1" applyAlignment="1">
      <alignment horizontal="left" vertical="center" wrapText="1"/>
    </xf>
    <xf numFmtId="164" fontId="4" fillId="14" borderId="10" xfId="1" applyFont="1" applyFill="1" applyBorder="1" applyAlignment="1">
      <alignment horizontal="left" vertical="center" wrapText="1"/>
    </xf>
    <xf numFmtId="0" fontId="5" fillId="0" borderId="0" xfId="0" applyFont="1"/>
    <xf numFmtId="0" fontId="5" fillId="31" borderId="0" xfId="2" applyFont="1" applyFill="1"/>
    <xf numFmtId="164" fontId="3" fillId="4" borderId="12" xfId="1" applyFont="1" applyFill="1" applyBorder="1" applyAlignment="1">
      <alignment horizontal="left" vertical="center" wrapText="1"/>
    </xf>
    <xf numFmtId="164" fontId="4" fillId="16" borderId="13" xfId="1" applyFont="1" applyFill="1" applyBorder="1" applyAlignment="1">
      <alignment horizontal="left" vertical="center" wrapText="1"/>
    </xf>
    <xf numFmtId="0" fontId="5" fillId="30" borderId="0" xfId="0" applyFont="1" applyFill="1"/>
    <xf numFmtId="0" fontId="5" fillId="31" borderId="0" xfId="0" applyFont="1" applyFill="1"/>
    <xf numFmtId="3" fontId="5" fillId="31" borderId="0" xfId="0" applyNumberFormat="1" applyFont="1" applyFill="1"/>
    <xf numFmtId="9" fontId="5" fillId="31" borderId="0" xfId="0" applyNumberFormat="1" applyFont="1" applyFill="1"/>
    <xf numFmtId="0" fontId="3" fillId="31" borderId="0" xfId="0" applyFont="1" applyFill="1"/>
    <xf numFmtId="0" fontId="3" fillId="31" borderId="0" xfId="0" applyFont="1" applyFill="1" applyAlignment="1">
      <alignment wrapText="1"/>
    </xf>
    <xf numFmtId="0" fontId="9" fillId="0" borderId="0" xfId="0" applyFont="1"/>
    <xf numFmtId="0" fontId="0" fillId="30" borderId="0" xfId="0" applyFill="1"/>
    <xf numFmtId="0" fontId="9" fillId="30" borderId="0" xfId="0" applyFont="1" applyFill="1"/>
    <xf numFmtId="0" fontId="10" fillId="0" borderId="0" xfId="0" applyFont="1"/>
    <xf numFmtId="0" fontId="11" fillId="33" borderId="0" xfId="3"/>
    <xf numFmtId="0" fontId="3" fillId="30" borderId="0" xfId="0" applyFont="1" applyFill="1"/>
    <xf numFmtId="9" fontId="5" fillId="30" borderId="0" xfId="0" applyNumberFormat="1" applyFont="1" applyFill="1"/>
    <xf numFmtId="0" fontId="13" fillId="0" borderId="0" xfId="0" applyFont="1"/>
    <xf numFmtId="0" fontId="0" fillId="25" borderId="0" xfId="0" applyFill="1"/>
    <xf numFmtId="3" fontId="0" fillId="0" borderId="0" xfId="0" applyNumberFormat="1"/>
    <xf numFmtId="3" fontId="13" fillId="0" borderId="0" xfId="0" applyNumberFormat="1" applyFont="1"/>
    <xf numFmtId="0" fontId="5" fillId="31" borderId="0" xfId="0" applyFont="1" applyFill="1" applyAlignment="1">
      <alignment wrapText="1"/>
    </xf>
    <xf numFmtId="0" fontId="12" fillId="0" borderId="0" xfId="0" applyFont="1"/>
    <xf numFmtId="0" fontId="14" fillId="0" borderId="0" xfId="0" applyFont="1"/>
    <xf numFmtId="0" fontId="16" fillId="0" borderId="0" xfId="0" applyFont="1"/>
    <xf numFmtId="3" fontId="16" fillId="0" borderId="0" xfId="0" applyNumberFormat="1" applyFont="1"/>
    <xf numFmtId="0" fontId="15" fillId="34" borderId="14" xfId="4"/>
    <xf numFmtId="10" fontId="5" fillId="31" borderId="0" xfId="0" applyNumberFormat="1" applyFont="1" applyFill="1"/>
    <xf numFmtId="0" fontId="17" fillId="0" borderId="0" xfId="0" applyFont="1"/>
    <xf numFmtId="3" fontId="0" fillId="31" borderId="0" xfId="0" applyNumberFormat="1" applyFill="1"/>
    <xf numFmtId="0" fontId="18" fillId="0" borderId="0" xfId="0" applyFont="1"/>
    <xf numFmtId="3" fontId="16" fillId="31" borderId="0" xfId="0" applyNumberFormat="1" applyFont="1" applyFill="1"/>
    <xf numFmtId="0" fontId="16" fillId="31" borderId="0" xfId="0" applyFont="1" applyFill="1"/>
    <xf numFmtId="3" fontId="15" fillId="34" borderId="14" xfId="4" applyNumberFormat="1"/>
    <xf numFmtId="0" fontId="19" fillId="0" borderId="0" xfId="0" applyFont="1" applyAlignment="1">
      <alignment horizontal="center" vertical="center" wrapText="1"/>
    </xf>
    <xf numFmtId="0" fontId="0" fillId="0" borderId="0" xfId="0" applyAlignment="1">
      <alignment vertical="center" wrapText="1"/>
    </xf>
    <xf numFmtId="0" fontId="19" fillId="0" borderId="0" xfId="0" applyFont="1" applyAlignment="1">
      <alignment vertical="center" wrapText="1"/>
    </xf>
    <xf numFmtId="0" fontId="5" fillId="31" borderId="0" xfId="0" quotePrefix="1" applyFont="1" applyFill="1"/>
    <xf numFmtId="0" fontId="5" fillId="35" borderId="0" xfId="0" applyFont="1" applyFill="1"/>
    <xf numFmtId="0" fontId="5" fillId="36" borderId="0" xfId="2" applyFont="1" applyFill="1"/>
    <xf numFmtId="0" fontId="5" fillId="36" borderId="0" xfId="0" applyFont="1" applyFill="1"/>
    <xf numFmtId="9" fontId="5" fillId="36" borderId="0" xfId="0" applyNumberFormat="1" applyFont="1" applyFill="1"/>
    <xf numFmtId="0" fontId="5" fillId="36" borderId="0" xfId="0" applyFont="1" applyFill="1" applyAlignment="1">
      <alignment wrapText="1"/>
    </xf>
    <xf numFmtId="10" fontId="5" fillId="36" borderId="0" xfId="0" applyNumberFormat="1" applyFont="1" applyFill="1"/>
    <xf numFmtId="0" fontId="5" fillId="37" borderId="0" xfId="0" applyFont="1" applyFill="1"/>
    <xf numFmtId="0" fontId="3" fillId="36" borderId="0" xfId="0" applyFont="1" applyFill="1"/>
    <xf numFmtId="164" fontId="4" fillId="23" borderId="1" xfId="1" applyFont="1" applyFill="1" applyBorder="1" applyAlignment="1">
      <alignment horizontal="left" vertical="center" wrapText="1"/>
    </xf>
    <xf numFmtId="164" fontId="12" fillId="9" borderId="1" xfId="1" applyFont="1" applyFill="1" applyBorder="1" applyAlignment="1">
      <alignment horizontal="left" vertical="center" wrapText="1"/>
    </xf>
    <xf numFmtId="164" fontId="20" fillId="21" borderId="2" xfId="1" applyFont="1" applyFill="1" applyBorder="1" applyAlignment="1">
      <alignment horizontal="left" vertical="center" wrapText="1"/>
    </xf>
    <xf numFmtId="0" fontId="12" fillId="31" borderId="0" xfId="0" applyFont="1" applyFill="1"/>
    <xf numFmtId="0" fontId="12" fillId="36" borderId="0" xfId="0" applyFont="1" applyFill="1"/>
    <xf numFmtId="164" fontId="12" fillId="5" borderId="15" xfId="1" applyFont="1" applyFill="1" applyBorder="1" applyAlignment="1">
      <alignment horizontal="left" vertical="center" wrapText="1"/>
    </xf>
    <xf numFmtId="164" fontId="20" fillId="17" borderId="16" xfId="1" applyFont="1" applyFill="1" applyBorder="1" applyAlignment="1">
      <alignment horizontal="left" vertical="center" wrapText="1"/>
    </xf>
    <xf numFmtId="164" fontId="12" fillId="5" borderId="1" xfId="1" applyFont="1" applyFill="1" applyBorder="1" applyAlignment="1">
      <alignment horizontal="left" vertical="center" wrapText="1"/>
    </xf>
    <xf numFmtId="164" fontId="20" fillId="17" borderId="2" xfId="1" applyFont="1" applyFill="1" applyBorder="1" applyAlignment="1">
      <alignment horizontal="left" vertical="center" wrapText="1"/>
    </xf>
    <xf numFmtId="164" fontId="21" fillId="14" borderId="2" xfId="1" applyFont="1" applyFill="1" applyBorder="1" applyAlignment="1">
      <alignment horizontal="left" vertical="center" wrapText="1"/>
    </xf>
    <xf numFmtId="0" fontId="22" fillId="31" borderId="0" xfId="0" applyFont="1" applyFill="1"/>
    <xf numFmtId="0" fontId="22" fillId="36" borderId="0" xfId="0" applyFont="1" applyFill="1"/>
    <xf numFmtId="164" fontId="22" fillId="2" borderId="1" xfId="1" applyFont="1" applyFill="1" applyBorder="1" applyAlignment="1">
      <alignment horizontal="left" vertical="center" wrapText="1"/>
    </xf>
    <xf numFmtId="0" fontId="22" fillId="38" borderId="0" xfId="0" applyFont="1" applyFill="1"/>
    <xf numFmtId="0" fontId="22" fillId="39" borderId="0" xfId="0" applyFont="1" applyFill="1"/>
    <xf numFmtId="0" fontId="22" fillId="40" borderId="0" xfId="0" applyFont="1" applyFill="1"/>
    <xf numFmtId="0" fontId="22" fillId="32" borderId="0" xfId="0" applyFont="1" applyFill="1"/>
    <xf numFmtId="0" fontId="3" fillId="13" borderId="1" xfId="0" applyFont="1" applyFill="1" applyBorder="1" applyAlignment="1">
      <alignment horizontal="left" vertical="center" wrapText="1"/>
    </xf>
    <xf numFmtId="164" fontId="20" fillId="19" borderId="17" xfId="1" applyFont="1" applyFill="1" applyBorder="1" applyAlignment="1">
      <alignment horizontal="left" vertical="center" wrapText="1"/>
    </xf>
    <xf numFmtId="164" fontId="12" fillId="7" borderId="17" xfId="1" applyFont="1" applyFill="1" applyBorder="1" applyAlignment="1">
      <alignment horizontal="left" vertical="center" wrapText="1"/>
    </xf>
    <xf numFmtId="164" fontId="12" fillId="2" borderId="18" xfId="1" applyFont="1" applyFill="1" applyBorder="1" applyAlignment="1">
      <alignment horizontal="left" vertical="center" wrapText="1"/>
    </xf>
    <xf numFmtId="164" fontId="20" fillId="14" borderId="19" xfId="1" applyFont="1" applyFill="1" applyBorder="1" applyAlignment="1">
      <alignment horizontal="left" vertical="center" wrapText="1"/>
    </xf>
    <xf numFmtId="0" fontId="1" fillId="0" borderId="0" xfId="2"/>
    <xf numFmtId="0" fontId="5" fillId="41" borderId="0" xfId="0" applyFont="1" applyFill="1"/>
    <xf numFmtId="0" fontId="5" fillId="41" borderId="0" xfId="0" applyFont="1" applyFill="1" applyAlignment="1">
      <alignment wrapText="1"/>
    </xf>
    <xf numFmtId="0" fontId="5" fillId="30" borderId="0" xfId="0" applyFont="1" applyFill="1" applyAlignment="1">
      <alignment wrapText="1"/>
    </xf>
    <xf numFmtId="0" fontId="5" fillId="0" borderId="0" xfId="0" applyFont="1" applyAlignment="1">
      <alignment wrapText="1"/>
    </xf>
    <xf numFmtId="1" fontId="5" fillId="0" borderId="0" xfId="0" applyNumberFormat="1" applyFont="1"/>
    <xf numFmtId="1" fontId="5" fillId="42" borderId="0" xfId="0" applyNumberFormat="1" applyFont="1" applyFill="1"/>
    <xf numFmtId="164" fontId="4" fillId="14" borderId="20" xfId="1" applyFont="1" applyFill="1" applyBorder="1" applyAlignment="1">
      <alignment horizontal="left" vertical="center" wrapText="1"/>
    </xf>
    <xf numFmtId="164" fontId="4" fillId="14" borderId="21" xfId="1" applyFont="1" applyFill="1" applyBorder="1" applyAlignment="1">
      <alignment horizontal="left" vertical="center" wrapText="1"/>
    </xf>
    <xf numFmtId="0" fontId="4" fillId="24" borderId="20" xfId="0" applyFont="1" applyFill="1" applyBorder="1" applyAlignment="1">
      <alignment horizontal="left" vertical="center"/>
    </xf>
    <xf numFmtId="0" fontId="4" fillId="24" borderId="21" xfId="0" applyFont="1" applyFill="1" applyBorder="1" applyAlignment="1">
      <alignment horizontal="left" vertical="center"/>
    </xf>
    <xf numFmtId="0" fontId="4" fillId="24" borderId="22" xfId="0" applyFont="1" applyFill="1" applyBorder="1" applyAlignment="1">
      <alignment horizontal="left" vertical="center"/>
    </xf>
    <xf numFmtId="0" fontId="23" fillId="0" borderId="0" xfId="0" applyFont="1"/>
    <xf numFmtId="0" fontId="24" fillId="43" borderId="0" xfId="5"/>
    <xf numFmtId="0" fontId="5" fillId="31" borderId="23" xfId="2" applyFont="1" applyFill="1" applyBorder="1"/>
    <xf numFmtId="0" fontId="5" fillId="31" borderId="24" xfId="2" applyFont="1" applyFill="1" applyBorder="1"/>
    <xf numFmtId="0" fontId="5" fillId="31" borderId="25" xfId="2" applyFont="1" applyFill="1" applyBorder="1"/>
    <xf numFmtId="0" fontId="5" fillId="36" borderId="23" xfId="2" applyFont="1" applyFill="1" applyBorder="1"/>
    <xf numFmtId="0" fontId="5" fillId="31" borderId="3" xfId="2" applyFont="1" applyFill="1" applyBorder="1"/>
    <xf numFmtId="0" fontId="5" fillId="31" borderId="4" xfId="0" applyFont="1" applyFill="1" applyBorder="1"/>
    <xf numFmtId="0" fontId="5" fillId="31" borderId="5" xfId="0" applyFont="1" applyFill="1" applyBorder="1"/>
    <xf numFmtId="0" fontId="5" fillId="31" borderId="26" xfId="2" applyFont="1" applyFill="1" applyBorder="1"/>
    <xf numFmtId="0" fontId="5" fillId="31" borderId="27" xfId="0" applyFont="1" applyFill="1" applyBorder="1"/>
    <xf numFmtId="0" fontId="5" fillId="31" borderId="28" xfId="2" applyFont="1" applyFill="1" applyBorder="1"/>
    <xf numFmtId="0" fontId="5" fillId="31" borderId="29" xfId="0" applyFont="1" applyFill="1" applyBorder="1"/>
    <xf numFmtId="0" fontId="5" fillId="31" borderId="30" xfId="0" applyFont="1" applyFill="1" applyBorder="1"/>
    <xf numFmtId="0" fontId="5" fillId="36" borderId="26" xfId="2" applyFont="1" applyFill="1" applyBorder="1"/>
    <xf numFmtId="0" fontId="5" fillId="36" borderId="27" xfId="0" applyFont="1" applyFill="1" applyBorder="1"/>
    <xf numFmtId="0" fontId="5" fillId="36" borderId="24" xfId="2" applyFont="1" applyFill="1" applyBorder="1"/>
    <xf numFmtId="0" fontId="5" fillId="36" borderId="4" xfId="0" applyFont="1" applyFill="1" applyBorder="1"/>
    <xf numFmtId="0" fontId="5" fillId="36" borderId="5" xfId="0" applyFont="1" applyFill="1" applyBorder="1"/>
    <xf numFmtId="0" fontId="5" fillId="36" borderId="28" xfId="2" applyFont="1" applyFill="1" applyBorder="1"/>
    <xf numFmtId="0" fontId="5" fillId="36" borderId="29" xfId="0" applyFont="1" applyFill="1" applyBorder="1"/>
    <xf numFmtId="0" fontId="5" fillId="36" borderId="30" xfId="0" applyFont="1" applyFill="1" applyBorder="1"/>
    <xf numFmtId="0" fontId="5" fillId="31" borderId="4" xfId="2" applyFont="1" applyFill="1" applyBorder="1"/>
    <xf numFmtId="0" fontId="5" fillId="36" borderId="25" xfId="2" applyFont="1" applyFill="1" applyBorder="1"/>
    <xf numFmtId="0" fontId="5" fillId="36" borderId="3" xfId="2" applyFont="1" applyFill="1" applyBorder="1"/>
    <xf numFmtId="0" fontId="5" fillId="31" borderId="24" xfId="0" applyFont="1" applyFill="1" applyBorder="1"/>
    <xf numFmtId="0" fontId="5" fillId="31" borderId="26" xfId="0" applyFont="1" applyFill="1" applyBorder="1"/>
    <xf numFmtId="0" fontId="5" fillId="36" borderId="29" xfId="2" applyFont="1" applyFill="1" applyBorder="1"/>
    <xf numFmtId="0" fontId="6" fillId="25" borderId="7" xfId="0" applyFont="1" applyFill="1" applyBorder="1" applyAlignment="1">
      <alignment horizontal="center"/>
    </xf>
    <xf numFmtId="0" fontId="6" fillId="25" borderId="4" xfId="0" applyFont="1" applyFill="1" applyBorder="1" applyAlignment="1">
      <alignment horizontal="center"/>
    </xf>
    <xf numFmtId="0" fontId="6" fillId="25" borderId="5" xfId="0" applyFont="1" applyFill="1" applyBorder="1" applyAlignment="1">
      <alignment horizontal="center"/>
    </xf>
    <xf numFmtId="0" fontId="6" fillId="19" borderId="7" xfId="0" applyFont="1" applyFill="1" applyBorder="1" applyAlignment="1">
      <alignment horizontal="center"/>
    </xf>
    <xf numFmtId="0" fontId="6" fillId="19" borderId="4" xfId="0" applyFont="1" applyFill="1" applyBorder="1" applyAlignment="1">
      <alignment horizontal="center"/>
    </xf>
    <xf numFmtId="0" fontId="6" fillId="28" borderId="7" xfId="0" applyFont="1" applyFill="1" applyBorder="1" applyAlignment="1">
      <alignment horizontal="center"/>
    </xf>
    <xf numFmtId="0" fontId="6" fillId="28" borderId="4" xfId="0" applyFont="1" applyFill="1" applyBorder="1" applyAlignment="1">
      <alignment horizontal="center"/>
    </xf>
    <xf numFmtId="0" fontId="6" fillId="28" borderId="11" xfId="0" applyFont="1" applyFill="1" applyBorder="1" applyAlignment="1">
      <alignment horizontal="center"/>
    </xf>
    <xf numFmtId="0" fontId="6" fillId="21" borderId="4" xfId="0" applyFont="1" applyFill="1" applyBorder="1" applyAlignment="1">
      <alignment horizontal="center"/>
    </xf>
    <xf numFmtId="0" fontId="6" fillId="22" borderId="7" xfId="0" applyFont="1" applyFill="1" applyBorder="1" applyAlignment="1">
      <alignment horizontal="center"/>
    </xf>
    <xf numFmtId="0" fontId="6" fillId="22" borderId="4" xfId="0" applyFont="1" applyFill="1" applyBorder="1" applyAlignment="1">
      <alignment horizontal="center"/>
    </xf>
    <xf numFmtId="0" fontId="6" fillId="23" borderId="7" xfId="0" applyFont="1" applyFill="1" applyBorder="1" applyAlignment="1">
      <alignment horizontal="center"/>
    </xf>
    <xf numFmtId="0" fontId="6" fillId="23" borderId="4" xfId="0" applyFont="1" applyFill="1" applyBorder="1" applyAlignment="1">
      <alignment horizontal="center"/>
    </xf>
    <xf numFmtId="0" fontId="6" fillId="29" borderId="7" xfId="0" applyFont="1" applyFill="1" applyBorder="1" applyAlignment="1">
      <alignment horizontal="center"/>
    </xf>
    <xf numFmtId="0" fontId="6" fillId="29" borderId="4" xfId="0" applyFont="1" applyFill="1" applyBorder="1" applyAlignment="1">
      <alignment horizontal="center"/>
    </xf>
    <xf numFmtId="0" fontId="6" fillId="27" borderId="4" xfId="0" applyFont="1" applyFill="1" applyBorder="1" applyAlignment="1">
      <alignment horizontal="center"/>
    </xf>
    <xf numFmtId="0" fontId="6" fillId="16" borderId="7" xfId="0" applyFont="1" applyFill="1" applyBorder="1" applyAlignment="1">
      <alignment horizontal="center"/>
    </xf>
    <xf numFmtId="0" fontId="6" fillId="16" borderId="4" xfId="0" applyFont="1" applyFill="1" applyBorder="1" applyAlignment="1">
      <alignment horizontal="center"/>
    </xf>
    <xf numFmtId="0" fontId="6" fillId="17" borderId="7" xfId="0" applyFont="1" applyFill="1" applyBorder="1" applyAlignment="1">
      <alignment horizontal="center"/>
    </xf>
    <xf numFmtId="0" fontId="6" fillId="17" borderId="4" xfId="0" applyFont="1" applyFill="1" applyBorder="1" applyAlignment="1">
      <alignment horizontal="center"/>
    </xf>
    <xf numFmtId="0" fontId="6" fillId="18" borderId="7" xfId="0" applyFont="1" applyFill="1" applyBorder="1" applyAlignment="1">
      <alignment horizontal="center"/>
    </xf>
    <xf numFmtId="0" fontId="6" fillId="18" borderId="4" xfId="0" applyFont="1" applyFill="1" applyBorder="1" applyAlignment="1">
      <alignment horizontal="center"/>
    </xf>
    <xf numFmtId="0" fontId="6" fillId="26" borderId="3" xfId="0" applyFont="1" applyFill="1" applyBorder="1" applyAlignment="1">
      <alignment horizontal="center"/>
    </xf>
    <xf numFmtId="0" fontId="6" fillId="26" borderId="4" xfId="0" applyFont="1" applyFill="1" applyBorder="1" applyAlignment="1">
      <alignment horizontal="center"/>
    </xf>
    <xf numFmtId="0" fontId="6" fillId="26" borderId="11" xfId="0" applyFont="1" applyFill="1" applyBorder="1" applyAlignment="1">
      <alignment horizontal="center"/>
    </xf>
    <xf numFmtId="0" fontId="5" fillId="31" borderId="31" xfId="2" applyFont="1" applyFill="1" applyBorder="1"/>
  </cellXfs>
  <cellStyles count="6">
    <cellStyle name="Bad" xfId="5" builtinId="27"/>
    <cellStyle name="Calculation" xfId="4" builtinId="22"/>
    <cellStyle name="Excel Built-in Normal" xfId="1" xr:uid="{63978620-562D-EC41-8276-8607A6173DE7}"/>
    <cellStyle name="Good" xfId="3" builtinId="26"/>
    <cellStyle name="Normal" xfId="0" builtinId="0"/>
    <cellStyle name="Normal 2" xfId="2" xr:uid="{1AEC1F4C-613A-4E1D-BE5C-21A61290308A}"/>
  </cellStyles>
  <dxfs count="14">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font>
        <b val="0"/>
        <i val="0"/>
        <strike val="0"/>
        <condense val="0"/>
        <extend val="0"/>
        <outline val="0"/>
        <shadow val="0"/>
        <u val="none"/>
        <vertAlign val="baseline"/>
        <sz val="12"/>
        <color theme="1"/>
        <name val="Arial"/>
        <family val="2"/>
        <scheme val="none"/>
      </font>
      <fill>
        <patternFill patternType="solid">
          <fgColor indexed="64"/>
          <bgColor theme="3" tint="0.749992370372631"/>
        </patternFill>
      </fill>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solid">
          <fgColor indexed="64"/>
          <bgColor rgb="FFA6C9ED"/>
        </patternFill>
      </fill>
    </dxf>
    <dxf>
      <border outline="0">
        <bottom style="medium">
          <color indexed="64"/>
        </bottom>
      </border>
    </dxf>
    <dxf>
      <font>
        <b/>
        <i val="0"/>
        <strike val="0"/>
        <condense val="0"/>
        <extend val="0"/>
        <outline val="0"/>
        <shadow val="0"/>
        <u val="none"/>
        <vertAlign val="baseline"/>
        <sz val="12"/>
        <color auto="1"/>
        <name val="Arial"/>
        <family val="2"/>
        <scheme val="none"/>
      </font>
      <fill>
        <patternFill patternType="solid">
          <fgColor indexed="64"/>
          <bgColor rgb="FFC392C4"/>
        </patternFill>
      </fill>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7D1E4"/>
      <color rgb="FFA6C9ED"/>
      <color rgb="FFCFA5C9"/>
      <color rgb="FFAE7EB9"/>
      <color rgb="FFC392C5"/>
      <color rgb="FF7EA6B9"/>
      <color rgb="FF92ACC4"/>
      <color rgb="FFA5B4D0"/>
      <color rgb="FFA5CFAC"/>
      <color rgb="FF92C4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Number of SOMAs per 2 years</cx:v>
        </cx:txData>
      </cx:tx>
      <cx:txPr>
        <a:bodyPr spcFirstLastPara="1" vertOverflow="ellipsis" horzOverflow="overflow" wrap="square" lIns="0" tIns="0" rIns="0" bIns="0" anchor="ctr" anchorCtr="1"/>
        <a:lstStyle/>
        <a:p>
          <a:pPr algn="ctr" rtl="0">
            <a:defRPr/>
          </a:pPr>
          <a:r>
            <a:rPr lang="en-US" sz="2400" b="0" i="0" u="none" strike="noStrike" baseline="0">
              <a:solidFill>
                <a:sysClr val="windowText" lastClr="000000">
                  <a:lumMod val="65000"/>
                  <a:lumOff val="35000"/>
                </a:sysClr>
              </a:solidFill>
              <a:latin typeface="Calibri" panose="020F0502020204030204" pitchFamily="34" charset="0"/>
              <a:cs typeface="Calibri" panose="020F0502020204030204" pitchFamily="34" charset="0"/>
            </a:rPr>
            <a:t>Number of SOMAs per 2 years</a:t>
          </a:r>
        </a:p>
      </cx:txPr>
    </cx:title>
    <cx:plotArea>
      <cx:plotAreaRegion>
        <cx:series layoutId="clusteredColumn" uniqueId="{79485706-BA7F-2C49-9539-114830DDEA6C}">
          <cx:dataPt idx="4"/>
          <cx:dataLabels>
            <cx:txPr>
              <a:bodyPr spcFirstLastPara="1" vertOverflow="ellipsis" horzOverflow="overflow" wrap="square" lIns="0" tIns="0" rIns="0" bIns="0" anchor="ctr" anchorCtr="1"/>
              <a:lstStyle/>
              <a:p>
                <a:pPr algn="ctr" rtl="0">
                  <a:defRPr sz="1600">
                    <a:latin typeface="Calibri" panose="020F0502020204030204" pitchFamily="34" charset="0"/>
                    <a:ea typeface="Calibri" panose="020F0502020204030204" pitchFamily="34" charset="0"/>
                    <a:cs typeface="Calibri" panose="020F0502020204030204" pitchFamily="34" charset="0"/>
                  </a:defRPr>
                </a:pPr>
                <a:endParaRPr lang="en-US" sz="1600" b="0"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dataLabels>
          <cx:dataId val="0"/>
          <cx:layoutPr>
            <cx:binning intervalClosed="r">
              <cx:binCount val="14"/>
            </cx:binning>
          </cx:layoutPr>
        </cx:series>
      </cx:plotAreaRegion>
      <cx:axis id="0">
        <cx:catScaling gapWidth="0.100000001"/>
        <cx:majorTickMarks type="in"/>
        <cx:minorTickMarks type="out"/>
        <cx:tickLabels/>
        <cx:numFmt formatCode="0" sourceLinked="0"/>
        <cx:txPr>
          <a:bodyPr spcFirstLastPara="1" vertOverflow="ellipsis" horzOverflow="overflow" wrap="square" lIns="0" tIns="0" rIns="0" bIns="0" anchor="ctr" anchorCtr="1"/>
          <a:lstStyle/>
          <a:p>
            <a:pPr algn="ctr" rtl="0">
              <a:defRPr>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axis>
      <cx:axis id="1">
        <cx:valScaling/>
        <cx:majorGridlines/>
        <cx:tickLabels/>
        <cx:txPr>
          <a:bodyPr spcFirstLastPara="1" vertOverflow="ellipsis" horzOverflow="overflow" wrap="square" lIns="0" tIns="0" rIns="0" bIns="0" anchor="ctr" anchorCtr="1"/>
          <a:lstStyle/>
          <a:p>
            <a:pPr algn="ctr" rtl="0">
              <a:defRPr sz="1400">
                <a:latin typeface="Calibri" panose="020F0502020204030204" pitchFamily="34" charset="0"/>
                <a:ea typeface="Calibri" panose="020F0502020204030204" pitchFamily="34" charset="0"/>
                <a:cs typeface="Calibri" panose="020F0502020204030204" pitchFamily="34" charset="0"/>
              </a:defRPr>
            </a:pPr>
            <a:endParaRPr lang="en-US" sz="1400" b="0"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11</xdr:col>
      <xdr:colOff>730250</xdr:colOff>
      <xdr:row>6</xdr:row>
      <xdr:rowOff>190500</xdr:rowOff>
    </xdr:from>
    <xdr:to>
      <xdr:col>20</xdr:col>
      <xdr:colOff>444500</xdr:colOff>
      <xdr:row>29</xdr:row>
      <xdr:rowOff>127000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FAA3E13-4E1C-4606-AB8F-4DF08A3C11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798550" y="1409700"/>
              <a:ext cx="7258050" cy="45370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Emmelin Sahra Dåvang" id="{63BE2683-CD05-475F-A892-6A6250E8BECC}" userId="S::emmelind@uio.no::4066ded2-f4db-4026-bd4e-64ce3771b2af" providerId="AD"/>
  <person displayName="Valentin Emslander" id="{4DA524E8-3868-F444-A020-D0F395DBFD3A}" userId="S::g62177@uni-giessen.de::ed7e0792-11a4-49e5-b7ee-484f895874b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396CE9-0216-A34E-BBE0-3624D190690F}" name="Table1" displayName="Table1" ref="A3:J65" totalsRowShown="0" headerRowDxfId="13" dataDxfId="11" headerRowBorderDxfId="12" tableBorderDxfId="10">
  <autoFilter ref="A3:J65" xr:uid="{B5396CE9-0216-A34E-BBE0-3624D190690F}"/>
  <sortState xmlns:xlrd2="http://schemas.microsoft.com/office/spreadsheetml/2017/richdata2" ref="A4:J65">
    <sortCondition descending="1" ref="D3:D65"/>
  </sortState>
  <tableColumns count="10">
    <tableColumn id="1" xr3:uid="{DD8F1E8D-B9B5-FA4E-9586-843E838E38EF}" name="author_year" dataDxfId="9" dataCellStyle="Normal 2"/>
    <tableColumn id="2" xr3:uid="{1E04B6A8-78F9-C94C-BB3C-D1923DD2E37A}" name="ref_id" dataDxfId="8"/>
    <tableColumn id="3" xr3:uid="{87C13E91-D503-D34D-B99B-FE4AA4B20B71}" name="reference" dataDxfId="7"/>
    <tableColumn id="4" xr3:uid="{B9E718CF-0052-0B45-9E46-5B023F639B55}" name="pub_year" dataDxfId="6"/>
    <tableColumn id="5" xr3:uid="{234120CD-A985-AB4E-B599-40E97E012807}" name="prereg" dataDxfId="5"/>
    <tableColumn id="6" xr3:uid="{92B69D03-231E-5040-AE0A-473C43EDB8C3}" name="preprint" dataDxfId="4"/>
    <tableColumn id="7" xr3:uid="{8885BCE6-A727-534B-A2D8-BDFDB65A75F3}" name="open_acc" dataDxfId="3"/>
    <tableColumn id="8" xr3:uid="{4C9A2DF5-8AB1-2E4C-81F2-4FA7E6993DC0}" name="open_mat" dataDxfId="2"/>
    <tableColumn id="9" xr3:uid="{FFA36EE8-DA2D-404D-8758-B008CFC7F0E3}" name="open_code" dataDxfId="1"/>
    <tableColumn id="10" xr3:uid="{2DC3B15C-B2C1-9041-9BF0-D6D42EC4758F}" name="open_data"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3" dT="2024-10-06T19:18:49.53" personId="{63BE2683-CD05-475F-A892-6A6250E8BECC}" id="{2BE3E98A-81BD-4039-8293-34DAF7EBA643}">
    <text>Date: 06 October 2024</text>
  </threadedComment>
  <threadedComment ref="AD5" dT="2024-12-14T12:23:02.02" personId="{63BE2683-CD05-475F-A892-6A6250E8BECC}" id="{BA9BFC63-2DD8-4242-93B3-9A7261AC94E9}">
    <text>“To be included, meta-analyses had to be published from the year 2000 onward, had to deal with higher education or some defined adult population and in the case where K-12 studies were also addressed had to contain average effect sizes with higher education separated from other grade levels“</text>
  </threadedComment>
  <threadedComment ref="AG5" dT="2024-12-14T12:16:35.44" personId="{63BE2683-CD05-475F-A892-6A6250E8BECC}" id="{2B0816FD-5659-4EEF-A9EB-CCEAA283E00A}">
    <text xml:space="preserve">“Two of these are unpublished dissertations and the other two appear as journal articles.” </text>
  </threadedComment>
  <threadedComment ref="AH5" dT="2024-12-14T12:16:58.38" personId="{63BE2683-CD05-475F-A892-6A6250E8BECC}" id="{66762CC8-1752-483F-AA26-C3857FB123E5}">
    <text>“We searched the literature for meta-analyses… “</text>
  </threadedComment>
  <threadedComment ref="AN5" dT="2024-12-14T12:28:36.81" personId="{63BE2683-CD05-475F-A892-6A6250E8BECC}" id="{4D16705E-B019-4082-991D-FB02A47BD374}">
    <text xml:space="preserve">"To be included, meta-analyses had to be published from the year 2000 onward, had to deal with higher education or some defined adult population and in the case where K-12 studies were also addressed had to contain average effect sizes with higher education separated from other grade levels." </text>
  </threadedComment>
  <threadedComment ref="AO5" dT="2024-12-14T12:27:40.78" personId="{63BE2683-CD05-475F-A892-6A6250E8BECC}" id="{DEA4A250-4AA9-47EC-B9DB-665F4D79C67A}">
    <text xml:space="preserve">"Often it is randomized control trials and high-quality quasi-experiments, but sometimes, random assignment and pretesting are not possible so that lesser quality studies must be included." </text>
  </threadedComment>
  <threadedComment ref="AW5" dT="2024-12-14T12:25:54.37" personId="{63BE2683-CD05-475F-A892-6A6250E8BECC}" id="{DFE09BF6-4443-47F2-818F-E11DBE647DA5}">
    <text>“All effect sizes that were originally calculated as Cohen’s d, or some other metric, were converted to Hedges’ g for the sake of consistency. “</text>
  </threadedComment>
  <threadedComment ref="BF5" dT="2024-12-14T12:23:41.89" personId="{63BE2683-CD05-475F-A892-6A6250E8BECC}" id="{60DA7080-5E50-4561-82E6-AD7178D9C213}">
    <text xml:space="preserve">"Two expert reviewers who have participated in conducting many previous meta-analyses rated the 13 meta-analyses"​ </text>
  </threadedComment>
  <threadedComment ref="BJ5" dT="2024-12-14T12:34:20.01" personId="{63BE2683-CD05-475F-A892-6A6250E8BECC}" id="{29104E90-55D0-4B50-B47C-17E128EBF026}">
    <text xml:space="preserve">"The final collection of 13 meta-analyses encompassed 1,316 primary studies, some that were undoubtedly overlapping, especially in the more general meta-analyses"​ </text>
  </threadedComment>
  <threadedComment ref="BL5" dT="2024-12-14T12:36:16.89" personId="{63BE2683-CD05-475F-A892-6A6250E8BECC}" id="{D2A1152D-C2BC-422E-8951-16D99C3ECBFD}">
    <text xml:space="preserve">Study overlap was acknowledged, but the authors argued that the issue is less severe in second-order meta-analysis since standard errors are based on the number of studies, not participants :
"In a second-order meta-analysis the possibility of overlapping studies is high, but because the standard error (i.e., the denominator of a z-ratio) is based on the number of studies, instead of participants, the problem is less severe"​ 
So did not do anything…?
</text>
  </threadedComment>
  <threadedComment ref="BQ5" dT="2024-12-14T12:38:23.19" personId="{63BE2683-CD05-475F-A892-6A6250E8BECC}" id="{51159014-F59E-4376-84ED-BE6DB548FFDD}">
    <text xml:space="preserve">"These 22 ratings for each meta-analysis were collapsed into six methodological categories and averaged so that each category was rated on the three-point scale"​ </text>
  </threadedComment>
  <threadedComment ref="BR5" dT="2024-12-14T12:42:58.22" personId="{63BE2683-CD05-475F-A892-6A6250E8BECC}" id="{E579D0FC-1DFF-44BB-810E-8A87C7AF9873}">
    <text xml:space="preserve">"We reanalyzed the collection by removing studies that contained more than one methodological flaw (X) and recalculated the random effects model."​ </text>
  </threadedComment>
  <threadedComment ref="CS5" dT="2024-12-14T13:03:14.00" personId="{63BE2683-CD05-475F-A892-6A6250E8BECC}" id="{8F198AF3-5D5F-438E-B447-71F2FDDF035A}">
    <text xml:space="preserve">"In addition, when effect size was regressed on the interval-level MQIM (using the mixed effects method of moments approach), a slightly negative but not significant slope resulted (b = -0.004, p = .62)." </text>
  </threadedComment>
  <threadedComment ref="CW5" dT="2024-12-14T13:05:32.41" personId="{63BE2683-CD05-475F-A892-6A6250E8BECC}" id="{1435AA34-F155-4EC9-8A43-04B7BC1AE8BE}">
    <text xml:space="preserve">"We reanalyzed the collection by removing studies that contained more than one methodological flaw (X) and recalculated the random effects model."​
"When five studies, with either two or four Xs were removed, the results did diminish (g?? = 0.393–0.283), and the distribution became homogeneous with virtually no between-study variability."​ </text>
  </threadedComment>
  <threadedComment ref="DE5" dT="2024-12-14T13:09:07.50" personId="{63BE2683-CD05-475F-A892-6A6250E8BECC}" id="{9BBCF968-1FB1-4E3B-B340-6617F5B75E93}">
    <text>Table 1</text>
  </threadedComment>
  <threadedComment ref="DF5" dT="2024-12-14T13:10:24.81" personId="{63BE2683-CD05-475F-A892-6A6250E8BECC}" id="{F875B920-30AE-4957-B30D-11C20CDE92CB}">
    <text>Table 2</text>
  </threadedComment>
  <threadedComment ref="DH5" dT="2024-12-14T13:13:15.28" personId="{63BE2683-CD05-475F-A892-6A6250E8BECC}" id="{2CDD99E8-D215-40BA-94EC-E8E4F0709DD8}">
    <text>Table 4</text>
  </threadedComment>
  <threadedComment ref="W6" dT="2025-01-15T21:03:12.00" personId="{63BE2683-CD05-475F-A892-6A6250E8BECC}" id="{4E9FA3C9-88DF-4826-AABA-59009B5107C7}">
    <text>Appendix 2</text>
  </threadedComment>
  <threadedComment ref="AE6" dT="2025-01-15T21:06:54.76" personId="{63BE2683-CD05-475F-A892-6A6250E8BECC}" id="{A356CB79-0426-4789-9183-6B0F7C0C6B2A}">
    <text>"This study is limited to studies published in English between 2010 and 2021."</text>
  </threadedComment>
  <threadedComment ref="AO6" dT="2025-01-15T21:13:03.53" personId="{63BE2683-CD05-475F-A892-6A6250E8BECC}" id="{98EC8E07-E599-4A4E-AE97-D28FE14E6DD8}">
    <text xml:space="preserve">"The research covered by meta-analysis studies should be researched in experimental design." </text>
  </threadedComment>
  <threadedComment ref="AW6" dT="2025-01-15T21:16:46.06" personId="{63BE2683-CD05-475F-A892-6A6250E8BECC}" id="{C959FE0A-B71D-4575-8B94-37BA947F27A7}">
    <text xml:space="preserve">Cohen's d and Hedges' g as primary effect sizes. Other effect sizes, such as Fisher’s z and Pearson’s r, were converted to d values for consistency​.
"Meta-analysis studies should contain sufficient statistical data to calculate the generic effect size (e.g., Cohen's d, Hedges' g and lower limit (LL), the upper limit (UP), standard error (SE), and variance value depending on these effect sizes)." 
"One of the studies (k=1) that formed the data set of this study reported Fisher's z as effect size and one (k=1) reported Pearson correlation coefficient (r) as effect size. These effect sizes were converted to d values." 
"Since g is used more frequently as an effect size index in this study, the g value is preferred as a generic effect size."​ </text>
  </threadedComment>
  <threadedComment ref="BJ6" dT="2025-01-15T21:29:10.73" personId="{63BE2683-CD05-475F-A892-6A6250E8BECC}" id="{14AAB117-03D8-43E8-89D6-5E9AFA7D7BCA}">
    <text xml:space="preserve">"The overlap rate between meta-analysis studies should be at most 25%. If the overlap rate is less than 25%, it is accepted that meta-analysis studies are independent."​ </text>
  </threadedComment>
  <threadedComment ref="BN6" dT="2025-01-15T21:30:41.62" personId="{63BE2683-CD05-475F-A892-6A6250E8BECC}" id="{AC222EE9-A093-4885-B7B6-063103B770C5}">
    <text xml:space="preserve">"The Revised Assessment of Multiple Systematic Reviews (R-AMSTAR) scale was used to evaluate the quality of meta-analysis studies."​ </text>
  </threadedComment>
  <threadedComment ref="BR6" dT="2025-01-15T21:33:07.67" personId="{63BE2683-CD05-475F-A892-6A6250E8BECC}" id="{746FDD76-5AEC-468B-9EFB-311923C6203D}">
    <text xml:space="preserve">"Effect sizes were calculated according to moderator variables, and whether the effect size differed according to the moderator variables was checked with the Q between tests." </text>
  </threadedComment>
  <threadedComment ref="CC6" dT="2025-01-15T21:42:18.67" personId="{63BE2683-CD05-475F-A892-6A6250E8BECC}" id="{368511D1-B7E4-4172-91A8-6C955B62EE29}">
    <text xml:space="preserve">"If the studies contain effect sizes related to more than one learning outcome, the average effect size produced by the research was calculated."
"Only effect sizes depending on the experimental research group were used if the studies included experimental and relational models."​
</text>
  </threadedComment>
  <threadedComment ref="CL6" dT="2025-01-15T21:34:57.36" personId="{63BE2683-CD05-475F-A892-6A6250E8BECC}" id="{B2344E11-6C4E-4BCE-9363-0EB651FC9BB9}">
    <text xml:space="preserve">"The total heterogeneity of the data set was calculated as Q=298.47 (p&lt;.01). The heterogeneity level of the data set is high (I2=92.63)."​ </text>
  </threadedComment>
  <threadedComment ref="CS6" dT="2025-01-15T21:35:56.50" personId="{63BE2683-CD05-475F-A892-6A6250E8BECC}" id="{4856B5F0-471B-407F-A2C1-04A787A2F676}">
    <text xml:space="preserve">"Effect sizes were calculated according to moderator variables, and whether the effect size differed according to the moderator variables was checked with the Q between tests."​ </text>
  </threadedComment>
  <threadedComment ref="DA6" dT="2025-01-15T21:46:32.59" personId="{63BE2683-CD05-475F-A892-6A6250E8BECC}" id="{F63E7CE3-FB72-4D53-9584-FEC27644E18E}">
    <text>Figure 1</text>
  </threadedComment>
  <threadedComment ref="DB6" dT="2025-01-15T21:46:43.09" personId="{63BE2683-CD05-475F-A892-6A6250E8BECC}" id="{2550A269-62B1-4EFF-8A74-C01483C655AF}">
    <text>Figure 2</text>
  </threadedComment>
  <threadedComment ref="DE6" dT="2025-01-15T21:47:28.28" personId="{63BE2683-CD05-475F-A892-6A6250E8BECC}" id="{3C430D90-F9D5-498B-87DC-A3418504890C}">
    <text xml:space="preserve">Appendix 2 </text>
  </threadedComment>
  <threadedComment ref="DG6" dT="2025-01-15T21:49:19.66" personId="{63BE2683-CD05-475F-A892-6A6250E8BECC}" id="{D6E81477-1961-48E6-850A-205D96636432}">
    <text>Table 2</text>
  </threadedComment>
  <threadedComment ref="DH6" dT="2025-01-15T21:51:11.65" personId="{63BE2683-CD05-475F-A892-6A6250E8BECC}" id="{AAD4E3D1-2DCA-4183-BA6E-AFA174F13700}">
    <text>Table 2</text>
  </threadedComment>
  <threadedComment ref="DJ6" dT="2025-01-15T21:54:22.10" personId="{63BE2683-CD05-475F-A892-6A6250E8BECC}" id="{CCA40500-0080-4709-9F12-B7C99F382A99}">
    <text>Shortly mentioned in discussion</text>
  </threadedComment>
  <threadedComment ref="I7" dT="2025-01-02T08:43:57.38" personId="{63BE2683-CD05-475F-A892-6A6250E8BECC}" id="{DA0E28DA-8EE5-4C52-99A5-2AAB7B8C4F52}">
    <text>Searched for similar articles in Web of science and added a suiting area</text>
  </threadedComment>
  <threadedComment ref="X7" dT="2025-01-02T09:16:57.09" personId="{63BE2683-CD05-475F-A892-6A6250E8BECC}" id="{89469D52-C4CC-43FE-BDD8-EE3A2A843BA8}">
    <text xml:space="preserve">Tables 5, 6, and 7 present data across various years; however, they include only the 118 effect sizes rather than all 131 meta-analyses. The paper specifies that the studies are from the year 2000 onward, ensuring there are none before 2000. Additionally, since the review was conducted in 2022, there are no studies published after 2021. </text>
  </threadedComment>
  <threadedComment ref="AI7" dT="2025-01-02T09:25:13.57" personId="{63BE2683-CD05-475F-A892-6A6250E8BECC}" id="{D466E6C2-BFA8-4D8C-8C96-357F4E56DD51}">
    <text>“... joined with the inclusion of “meta-analysis” in the title, abstract or descriptors and a third concept targeting achievement outcomes. “</text>
  </threadedComment>
  <threadedComment ref="AM7" dT="2025-02-21T11:12:39.10" personId="{63BE2683-CD05-475F-A892-6A6250E8BECC}" id="{D69D743D-5848-4F46-BBAF-75C76951E268}">
    <text>Abstract was screened: 8.34% (60 out of 719 studies)</text>
  </threadedComment>
  <threadedComment ref="AO7" dT="2025-01-02T10:41:48.86" personId="{63BE2683-CD05-475F-A892-6A6250E8BECC}" id="{CC86BE05-AF61-4F65-A6B9-787B73A6C769}">
    <text>The paper does not explicitly list the types of primary study designs included in the meta-analyses. However, based on the methodological description and focus on quantitative syntheses,  I thought maybe we could call it quantitative designs?
“Only quantitative syntheses (true meta-analyses) were admitted to the final analytical stage.”</text>
  </threadedComment>
  <threadedComment ref="AW7" dT="2025-01-02T10:43:31.96" personId="{63BE2683-CD05-475F-A892-6A6250E8BECC}" id="{5A74CFC2-18F5-4EAF-9C7C-BC215F21FC92}">
    <text xml:space="preserve">“All types of the ES metric (i.e., Cohen’s d, k = 50; Hedges’ g, k = 76; and Pearson’s r, k = 2) were admitted.” </text>
  </threadedComment>
  <threadedComment ref="BF7" dT="2025-01-02T10:30:15.17" personId="{63BE2683-CD05-475F-A892-6A6250E8BECC}" id="{C4AF0CC0-0F7C-4510-914B-588BCA595A21}">
    <text>“First, the entire collection of identified abstracts was split among the team members, all experienced researchers with at least a decade of experience in conducting systematic reviews, who screened their respective portion of studies independently. In this preliminary review they set aside abstracts that needed a second opinion so that the entire team could discuss whether or not to include them. This allowed a range of reliability measures (expressed as Cohen’s kappa) to be established — from the percentage of studies (out of the initial total) that merited a second opinion to the portion whose original independent judgement was confirmed through the team discussion. The same procedure was employed for the full-text documents’ review, as well as at the effect size extraction and coding of moderator variables (with several discussion sessions throughout the entire review implementation) stages. “</text>
  </threadedComment>
  <threadedComment ref="BH7" dT="2025-01-09T15:09:30.38" personId="{4DA524E8-3868-F444-A020-D0F395DBFD3A}" id="{25799759-CCAE-FB46-832B-597CD1836386}">
    <text>“We aimed to achieve a reliability rate of around 0.7 for either of these metrics as the assurance of the overall reliability of all types of coding.”</text>
  </threadedComment>
  <threadedComment ref="BJ7" dT="2025-01-02T10:45:40.14" personId="{63BE2683-CD05-475F-A892-6A6250E8BECC}" id="{098B97E0-1369-4F3A-ABE0-430EF7E4E2F7}">
    <text xml:space="preserve">"Note that this current review does not estimate the degree of potential overlap in individual primary research studies in the admitted meta-analyses. As shown by Tamim et al. (2011), in the supplementary validation study, this time- and labour-consuming complex procedure does not add precision to the overall findings of a second-order meta-analysis." </text>
  </threadedComment>
  <threadedComment ref="BQ7" dT="2025-01-02T10:48:47.65" personId="{63BE2683-CD05-475F-A892-6A6250E8BECC}" id="{AA8BAFE9-F0D7-43DB-BC02-15C3DC21F41D}">
    <text xml:space="preserve">"It comprises 22 items that were designed to assess 22 areas of reporting quality in meta-analyses. Each item has a corresponding three-level qualitative characterisation." </text>
  </threadedComment>
  <threadedComment ref="BR7" dT="2025-01-02T10:51:03.39" personId="{63BE2683-CD05-475F-A892-6A6250E8BECC}" id="{A687FFD2-FE04-4D49-89F0-BCED38DC298D}">
    <text xml:space="preserve">"In the current second-order meta-analysis, we relied on assessments of the methodological quality of primary (first-order) meta-analyses under review both to inform inclusion/exclusion decisions and to act as a methodological moderator variable." </text>
  </threadedComment>
  <threadedComment ref="BS7" dT="2025-01-02T11:04:02.12" personId="{63BE2683-CD05-475F-A892-6A6250E8BECC}" id="{AB735167-9250-4F76-8E78-98A878603384}">
    <text xml:space="preserve">"We calculated weights for each effect size extracted from these meta-analyses based on the doubled number of independent effect sizes in every one of them (i.e., the number of independent comparisons, each necessarily involving an experimental and a control condition — hence, increased by a factor of two). We then used the random effects model for the aggregation of individual effect sizes." </text>
  </threadedComment>
  <threadedComment ref="CB7" dT="2025-01-02T11:08:54.33" personId="{63BE2683-CD05-475F-A892-6A6250E8BECC}" id="{CD493451-551D-4B34-AC3D-CBBD30D2F8FF}">
    <text>"A degree of publication bias was detected for the In-Class Technology Integration collection, and a minor adjustment to the overall weighted average effect size was subsequently implemented"</text>
  </threadedComment>
  <threadedComment ref="CF7" dT="2025-01-02T11:17:03.12" personId="{63BE2683-CD05-475F-A892-6A6250E8BECC}" id="{4916D6AE-5A46-457C-BF2C-4594EBC3DAF1}">
    <text>“Standard analytical procedures (e.g., one-study-removed, classic fail-safe, Duval and Tweedie’s trim and fill, funnel plot examination) were performed to detect, and, if necessary, correct for, potential publication and outlier biases (see Borenstein et al., 2009, and Duval &amp; Tweedie, 2000). “</text>
  </threadedComment>
  <threadedComment ref="CM7" dT="2025-01-09T15:24:29.05" personId="{4DA524E8-3868-F444-A020-D0F395DBFD3A}" id="{A6DC7150-8858-FA42-B049-A2C561A79D39}">
    <text xml:space="preserve"> “Also, and no less importantly, the removal of this effect size substantially reduces the heterogeneity of the distribution. Non-significant to begin with (QTotal = 16.60, p = .084), it drops dramatically to a negligible level of QTotal = 4.16 (p = .901) and makes the results of both analytical models identical. It means that there is no unexplained variability left in the resulting distribution (I2  = 0.00). “</text>
  </threadedComment>
  <threadedComment ref="CR7" dT="2025-01-02T11:25:46.46" personId="{63BE2683-CD05-475F-A892-6A6250E8BECC}" id="{50058148-2F8B-4EA2-88AD-FE0676195E99}">
    <text xml:space="preserve">"Coding, and more importantly analysis, of moderator variables largely depends on what categories are consistently accounted for across admitted meta-analyses" </text>
  </threadedComment>
  <threadedComment ref="CS7" dT="2025-01-02T11:27:32.80" personId="{63BE2683-CD05-475F-A892-6A6250E8BECC}" id="{CF1EAEB7-C9C8-42AF-90EB-26D4D069CA76}">
    <text xml:space="preserve">”We made a serious effort to identify all repeatedly available moderator variables and use the mixed effects analytical model to explore and explain variations in the outcomes associated with the systematic influence of these variables.” </text>
  </threadedComment>
  <threadedComment ref="CW7" dT="2025-01-02T11:36:16.23" personId="{63BE2683-CD05-475F-A892-6A6250E8BECC}" id="{4ADD1F86-E20B-4C25-8C26-C400CF38BE52}">
    <text>“Additional sensitivity analysis and analyses of methodological moderator variables further reduced the data set to 118 effect sizes distributed across educational settings’ type as follows”</text>
  </threadedComment>
  <threadedComment ref="DA7" dT="2025-01-02T11:37:24.60" personId="{63BE2683-CD05-475F-A892-6A6250E8BECC}" id="{2F33DEC6-5D67-44C2-AAE7-41345ECD2E07}">
    <text>Figure 1</text>
  </threadedComment>
  <threadedComment ref="DB7" dT="2025-01-02T11:37:43.87" personId="{63BE2683-CD05-475F-A892-6A6250E8BECC}" id="{E1893146-474A-44DF-918E-95B0983CF6E6}">
    <text>Figure 2</text>
  </threadedComment>
  <threadedComment ref="DD7" dT="2025-01-02T11:39:10.18" personId="{63BE2683-CD05-475F-A892-6A6250E8BECC}" id="{1C938378-9C71-4BE3-BD90-AE6394F55E6B}">
    <text>Figure 3 and 4 Meta-regression analysis of publication date and publication coverage</text>
  </threadedComment>
  <threadedComment ref="DE7" dT="2025-01-09T15:25:39.00" personId="{4DA524E8-3868-F444-A020-D0F395DBFD3A}" id="{14800A39-3F55-8946-AABA-5CB4BA64BCBA}">
    <text>Table 5,6,7</text>
  </threadedComment>
  <threadedComment ref="DF7" dT="2025-01-02T11:40:59.69" personId="{63BE2683-CD05-475F-A892-6A6250E8BECC}" id="{793CC39D-2AC6-42DB-B1E5-71B6566F475B}">
    <text>Table 8 ”Table 8 (below) summarises the overall findings (students’ learning achievement outcomes) for the three types of instructional settings”</text>
  </threadedComment>
  <threadedComment ref="DG7" dT="2025-01-02T11:41:36.07" personId="{63BE2683-CD05-475F-A892-6A6250E8BECC}" id="{F54956F3-DE6E-4E0D-9A38-C942722D47A8}">
    <text xml:space="preserve">Table 4 Levels of moderator variables represented in the included meta-analyses (frequencies) across all three collection </text>
  </threadedComment>
  <threadedComment ref="DH7" dT="2025-01-09T15:26:15.06" personId="{4DA524E8-3868-F444-A020-D0F395DBFD3A}" id="{5C8E59D7-E6DA-A84B-9A36-CD378AF3821E}">
    <text>A table of Items and descriptions in table 3, but not reporting of results</text>
  </threadedComment>
  <threadedComment ref="DJ7" dT="2025-01-02T11:50:35.12" personId="{63BE2683-CD05-475F-A892-6A6250E8BECC}" id="{D079096A-66EC-46E1-81DC-16CEC0DB8013}">
    <text>Page 74</text>
  </threadedComment>
  <threadedComment ref="DM7" dT="2025-01-09T15:26:50.67" personId="{4DA524E8-3868-F444-A020-D0F395DBFD3A}" id="{8FD3981D-26A4-4846-A648-AF7E0A6D51C0}">
    <text>Special need students were excluded, but not directly discussed as a lack of diversity.</text>
  </threadedComment>
  <threadedComment ref="DO7" dT="2025-01-02T12:02:41.61" personId="{63BE2683-CD05-475F-A892-6A6250E8BECC}" id="{99718E69-5C79-4932-A962-786E0DEFCEAC}">
    <text xml:space="preserve">“Meta-analyses that are less rigorous and less comprehensive tend to produce less reliable (inflated) effect sizes”
</text>
  </threadedComment>
  <threadedComment ref="DR7" dT="2025-01-02T11:54:46.53" personId="{63BE2683-CD05-475F-A892-6A6250E8BECC}" id="{69910728-9F07-441E-8D80-C75D99D304C7}">
    <text>“https://oasis.col.org/items/81887d9e-7092-4deb-8cb9-19dfe2568f23“</text>
    <extLst>
      <x:ext xmlns:xltc2="http://schemas.microsoft.com/office/spreadsheetml/2020/threadedcomments2" uri="{F7C98A9C-CBB3-438F-8F68-D28B6AF4A901}">
        <xltc2:checksum>584686448</xltc2:checksum>
        <xltc2:hyperlink startIndex="1" length="64" url="https://oasis.col.org/items/81887d9e-7092-4deb-8cb9-19dfe2568f23"/>
      </x:ext>
    </extLst>
  </threadedComment>
  <threadedComment ref="W8" dT="2025-01-14T11:27:36.89" personId="{63BE2683-CD05-475F-A892-6A6250E8BECC}" id="{4F5F5D30-A750-48A6-B0D6-985A0DF744F4}">
    <text xml:space="preserve">All studies included was from 2002:
"The sampling frame for this study included meta-analyses published in English in peer-reviewed medical journals in the year 2002" </text>
  </threadedComment>
  <threadedComment ref="AD8" dT="2025-01-14T13:43:04.49" personId="{63BE2683-CD05-475F-A892-6A6250E8BECC}" id="{6E689F7F-4201-43D6-8EDF-AD8077DE7AE9}">
    <text xml:space="preserve">"Meta-analyses that focused primarily on diagnostic procedures, population screening, prognosis or risk assessment, psychological constructs, adverse effects of therapy, or that used laboratory tests rather than clinical endpoints as their main outcomes were all excluded" </text>
  </threadedComment>
  <threadedComment ref="AF8" dT="2025-01-14T13:43:30.81" personId="{63BE2683-CD05-475F-A892-6A6250E8BECC}" id="{76F2EF88-E07A-48A9-A145-58E44083C471}">
    <text xml:space="preserve">"Meta-analyses published in English in peer-reviewed medical journals in the year 2002" </text>
  </threadedComment>
  <threadedComment ref="AG8" dT="2025-01-14T13:44:00.19" personId="{63BE2683-CD05-475F-A892-6A6250E8BECC}" id="{AB56D62D-0CAC-42E1-B90C-09BA2E430E1A}">
    <text xml:space="preserve">"No attempt was made to identify unpublished meta-analyses (also known as the 'file drawer problem')" </text>
  </threadedComment>
  <threadedComment ref="AH8" dT="2025-01-14T13:45:14.60" personId="{63BE2683-CD05-475F-A892-6A6250E8BECC}" id="{EE119A7B-E786-4375-B1FD-7915F0AD8932}">
    <text xml:space="preserve">"To identify all meta-analyses published in peer-reviewed medical journals in the year 2002, MEDLINE was searched...using 'meta-analysis' as a text word" </text>
  </threadedComment>
  <threadedComment ref="AI8" dT="2025-01-14T13:45:03.75" personId="{63BE2683-CD05-475F-A892-6A6250E8BECC}" id="{053108B4-60F3-4C55-918D-C74E541C89BA}">
    <text xml:space="preserve">"Search Strategy: 1. meta-analysis.tw." </text>
  </threadedComment>
  <threadedComment ref="AO8" dT="2025-01-14T14:05:18.07" personId="{63BE2683-CD05-475F-A892-6A6250E8BECC}" id="{1DC6706D-3E43-46F3-ACB9-C86E07F218ED}">
    <text xml:space="preserve">"Since a recent systematic review challenged the justification of this practice (MacLehose et al., 2000), it was assumed that sampling from medical journals would be more likely to include also meta-analyses that are based on both randomized controlled trials and quasi-experimental or observational studies" </text>
  </threadedComment>
  <threadedComment ref="AW8" dT="2025-01-14T14:06:24.94" personId="{63BE2683-CD05-475F-A892-6A6250E8BECC}" id="{A0CE7DDA-7CEB-486C-BE19-23B3AAE12DFF}">
    <text xml:space="preserve">"Index effect sizes were recorded in their original format. That is, for continuous outcomes, either as weighted mean difference (WMD) or standardized weighted mean difference (SMD, equivalent to Cohen's d). For dichotomous outcomes, the odds ratio (OR), risk ratio or relative risk (RR), rate difference (RD or ARR), and the hazard ratio (HR) were most commonly used" </text>
  </threadedComment>
  <threadedComment ref="BF8" dT="2025-01-14T14:02:33.41" personId="{63BE2683-CD05-475F-A892-6A6250E8BECC}" id="{4B974C2B-5659-42B5-9D9B-4E8A7C0A50A7}">
    <text xml:space="preserve">"A 10% reliability check against original references was done on two different occasions before the analysis" </text>
  </threadedComment>
  <threadedComment ref="BS8" dT="2025-01-15T15:20:00.15" personId="{4DA524E8-3868-F444-A020-D0F395DBFD3A}" id="{DBFB3CAC-C95B-F04D-9B7E-C76123D19B33}">
    <text>“The mean ES for continuous variables was d 0.50 (SD 0.35, 95%CI 0.32-0.69) and for dichotomous variables odds ratio 1.51 (SD 1.39, 95%CI 0.9-2.13; p&gt;0.05).”</text>
  </threadedComment>
  <threadedComment ref="CC8" dT="2025-01-14T14:24:10.29" personId="{63BE2683-CD05-475F-A892-6A6250E8BECC}" id="{850F84EC-C9A3-44CB-8FA8-3F9533930143}">
    <text xml:space="preserve">"The effect size of interest would be the one most directly related to the main study question... In cases in which more than one effect size estimate was directly related to the main study question, the one that was based on maximum studies and maximum subjects would be recorded" </text>
  </threadedComment>
  <threadedComment ref="CD8" dT="2025-01-15T15:18:27.97" personId="{4DA524E8-3868-F444-A020-D0F395DBFD3A}" id="{1232557D-8E7D-D74D-BA68-AFA9E979C42A}">
    <text xml:space="preserve">"Because almost all meta-analyses tend to report many such estimates... a decision was made to record only one effect size estimate for each meta-analysis…”  (1) The effect size of interest would be the one most directly related to the main study question; (2) In cases in which more than one effect size estimate was directly related to the main study question, the one that was based on maximum studies and maximum subjects would be recorded; (3) In cases in which the main study question specified more than one outcome of interest (ex. both morbidity and
mortality), the effect size that was most directly related to the more severe outcome
would be recorded; (4) In cases in which the main study question specified one outcome of interest but in more than one time point (ex. mortality at 3 month and 6 month), the effect size that described tlie Jong-term outcome would be recorded; and (5) In cases in which effect size estimates were calculated in more than one way (ex. intention-to-treat analysis vs. only patients who have been followed up for the entire duration of the study),
the effect size estimate calculated using the more stringent method would be recorded following the recommendation of the Cochrane Collaboration (Clarke &amp; Oxman, 2002). </text>
  </threadedComment>
  <threadedComment ref="CE8" dT="2025-01-14T14:27:47.51" personId="{63BE2683-CD05-475F-A892-6A6250E8BECC}" id="{A4EF8AA0-FFC5-456F-BD9A-43212A210536}">
    <text xml:space="preserve">"Although concerns have been raised that meta-analyses confined to the English language may result in publication bias... these concerns do not seem to apply to the present study" </text>
  </threadedComment>
  <threadedComment ref="DA8" dT="2025-01-14T14:32:13.28" personId="{63BE2683-CD05-475F-A892-6A6250E8BECC}" id="{13F61F35-DB8D-4001-912E-6193FEFFBC7B}">
    <text>Figure 2.1</text>
  </threadedComment>
  <threadedComment ref="DC8" dT="2025-01-14T14:33:03.47" personId="{63BE2683-CD05-475F-A892-6A6250E8BECC}" id="{65B709BD-8C8F-4331-9816-7DD351F0CBE9}">
    <text>Figure 2.2-2.5</text>
  </threadedComment>
  <threadedComment ref="DE8" dT="2025-01-14T14:38:57.81" personId="{63BE2683-CD05-475F-A892-6A6250E8BECC}" id="{66D06AA8-8112-40D5-96A4-F4DD94A93B41}">
    <text>Table 2</text>
  </threadedComment>
  <threadedComment ref="DJ8" dT="2025-01-14T14:40:04.17" personId="{63BE2683-CD05-475F-A892-6A6250E8BECC}" id="{AA7F812F-3806-4391-A44B-DB7E0CAE5305}">
    <text xml:space="preserve">"Although concerns have been raised that meta-analyses confined to the English language may result in publication bias... these concerns do not seem to apply to the present study" </text>
  </threadedComment>
  <threadedComment ref="AE9" dT="2025-01-22T21:30:12.42" personId="{63BE2683-CD05-475F-A892-6A6250E8BECC}" id="{947813D3-0598-4FAD-8D91-EF9276519B16}">
    <text>”We only included meta-analyses published in English. ”</text>
  </threadedComment>
  <threadedComment ref="AG9" dT="2025-01-22T21:30:51.49" personId="{63BE2683-CD05-475F-A892-6A6250E8BECC}" id="{2E7F8C92-9AA6-4C69-90ED-B4755C50D6D8}">
    <text>“16 meta-analyses (13% unpublished)”</text>
  </threadedComment>
  <threadedComment ref="AJ9" dT="2025-01-22T21:34:43.88" personId="{63BE2683-CD05-475F-A892-6A6250E8BECC}" id="{38086A43-C82A-432E-8292-4A286885F4DB}">
    <text>”All authors independently evaluated the meta-analyses using the inclusion criteria below. Discrepancies were resolved by the first author. ”</text>
  </threadedComment>
  <threadedComment ref="AO9" dT="2025-01-22T21:44:28.48" personId="{63BE2683-CD05-475F-A892-6A6250E8BECC}" id="{72D34D82-6BB3-43BC-BBBE-7B0158AC78D1}">
    <text xml:space="preserve">"We coded research design by noting if the meta-analysis aggregated cross-sectional, case-control/cohort, or longitudinal designs" </text>
  </threadedComment>
  <threadedComment ref="AW9" dT="2025-01-22T21:45:56.81" personId="{63BE2683-CD05-475F-A892-6A6250E8BECC}" id="{6883FE37-2C33-481C-AEB6-E973F4213530}">
    <text>“We disaggregated means by group and coded them to compute Cohen’s d. If means were not provided, we coded standardized mean differences (i.e., Cohen’s d and Hedges’s g), correlations, or odds ratios.“</text>
  </threadedComment>
  <threadedComment ref="BF9" dT="2025-01-22T21:35:55.02" personId="{63BE2683-CD05-475F-A892-6A6250E8BECC}" id="{40F05817-B9C0-4C54-9767-80C1CE3DFFA5}">
    <text xml:space="preserve">"Two coders (K.M.K. and K.M.C.) independently extracted effect sizes and other data (e.g., moderators and descriptives)" </text>
  </threadedComment>
  <threadedComment ref="BG9" dT="2025-01-22T21:36:18.54" personId="{63BE2683-CD05-475F-A892-6A6250E8BECC}" id="{10AE0B31-8178-493F-B731-5E0998271DA7}">
    <text xml:space="preserve">"We established reliability by cross-checking each meta-analytic effect and corresponding variables between the two coders" </text>
  </threadedComment>
  <threadedComment ref="BJ9" dT="2025-01-22T21:51:16.22" personId="{63BE2683-CD05-475F-A892-6A6250E8BECC}" id="{1D1CF588-214D-499E-8B0C-B98252B0F248}">
    <text>”Thus, we present one average difference with all meta-analytic effects and another average difference that only includes effects from meta-analyses with 25% or less overlap across studies. For the second set of analyses, we selected the meta-analysis with the most studies and participants or the most recent meta-analysis.”</text>
  </threadedComment>
  <threadedComment ref="BN9" dT="2025-01-22T21:56:42.73" personId="{63BE2683-CD05-475F-A892-6A6250E8BECC}" id="{70CC1BB2-7C81-4461-B047-0111E24F58CE}">
    <text>"We assessed the quality of meta-analyses included by using a quality checklist adapted from Higgins et al. (2013)."​</text>
  </threadedComment>
  <threadedComment ref="BQ9" dT="2025-01-22T21:57:49.44" personId="{63BE2683-CD05-475F-A892-6A6250E8BECC}" id="{5698C05E-556C-4EE6-A1AF-4154B3C79355}">
    <text>"We grouped meta-analyses by their quality; scores between 11 and 12 were considered the highest quality while scores between 4 and 6 were considered the lowest quality.”</text>
  </threadedComment>
  <threadedComment ref="BR9" dT="2025-01-22T21:58:16.52" personId="{63BE2683-CD05-475F-A892-6A6250E8BECC}" id="{F1C81672-DC7B-4A4E-8DD4-D047EEC21A92}">
    <text xml:space="preserve">"We grouped effect sizes by the quality of the meta-analysis... and employed random-effects meta-analytic techniques of categorical comparisons as a conservative test of differences between weighted averages."​ </text>
  </threadedComment>
  <threadedComment ref="CD9" dT="2025-01-22T22:02:54.80" personId="{63BE2683-CD05-475F-A892-6A6250E8BECC}" id="{EF0D974F-15B8-44F0-AF0A-5067849BA43A}">
    <text xml:space="preserve">"Only one overall effect size was included from each meta-analysis." 
"If differences between Whites and minorities were reported for more than one minority sample, we averaged these effect size estimates to compute one estimate of differences between Whites and minorities for each meta-analysis."
"If meta-analyses reported differences for multiple dimensions or types of psychopathology, we averaged across effect sizes within each meta-analysis to obtain one estimate for the overall analysis."​
</text>
  </threadedComment>
  <threadedComment ref="CL9" dT="2025-01-22T22:06:59.62" personId="{63BE2683-CD05-475F-A892-6A6250E8BECC}" id="{9C7A2654-38D7-4097-BBC9-EBC0116A6C13}">
    <text xml:space="preserve">”we report an index of heterogeneity (I²) and variance (τ²) of the weighted averages as measures of between-study variability."​ </text>
  </threadedComment>
  <threadedComment ref="CM9" dT="2025-01-22T22:07:33.09" personId="{63BE2683-CD05-475F-A892-6A6250E8BECC}" id="{1053F91A-3BB6-495D-B802-82C43367A5AD}">
    <text xml:space="preserve">"We report an index of heterogeneity (I²) and variance (τ²) of the weighted averages as measures of between-study variability." </text>
  </threadedComment>
  <threadedComment ref="CR9" dT="2025-01-22T22:08:39.64" personId="{63BE2683-CD05-475F-A892-6A6250E8BECC}" id="{EBB2B3B7-C1E2-4760-AB05-762B83CF42E3}">
    <text xml:space="preserve">"To address the second aim of our study, we grouped effect sizes by developmental period, mean age, dimension and type of psychopathology, sex, socioeconomic status, income, educational attainment, measure of psychopathology, research design, and decade of publication."​ </text>
  </threadedComment>
  <threadedComment ref="CS9" dT="2025-01-22T22:09:13.49" personId="{63BE2683-CD05-475F-A892-6A6250E8BECC}" id="{FBF281EC-8C1E-43EB-B3D3-B33AB8A6C75B}">
    <text xml:space="preserve">"We grouped effect sizes by the quality of the meta-analysis... and employed random-effects meta-analytic techniques of categorical comparisons as a conservative test of differences between weighted averages."​ </text>
  </threadedComment>
  <threadedComment ref="CW9" dT="2025-01-22T22:08:17.03" personId="{63BE2683-CD05-475F-A892-6A6250E8BECC}" id="{6F6C0FB7-68A3-4265-B614-EB47BC1793B7}">
    <text xml:space="preserve">"We conducted a sensitivity analysis by removing the largest effect size (d = 1.31) and found that the overall weighted difference was smaller in magnitude and the variability was substantially reduced."​ </text>
  </threadedComment>
  <threadedComment ref="DA9" dT="2025-01-22T22:09:52.10" personId="{63BE2683-CD05-475F-A892-6A6250E8BECC}" id="{EBD83576-5B3C-487A-BE07-C0722F53FDBC}">
    <text>Figure 2</text>
  </threadedComment>
  <threadedComment ref="DD9" dT="2025-01-22T22:11:56.82" personId="{63BE2683-CD05-475F-A892-6A6250E8BECC}" id="{48665182-528C-4FA3-B4DE-BC9B3DB0B2C9}">
    <text xml:space="preserve">Figure 1. Graphical example of the (a) cultural differences and (b) cultural similarities hypotheses 
Figure 3. Distribution of effect sizes. 
Figure 4. Graphic depiction of our findings on White–minority and between-minority differences in psychopathology </text>
  </threadedComment>
  <threadedComment ref="DE9" dT="2025-01-22T22:12:25.90" personId="{63BE2683-CD05-475F-A892-6A6250E8BECC}" id="{A716F9E2-48E4-4BF9-A63B-26D2E0824B7C}">
    <text>Table 1</text>
  </threadedComment>
  <threadedComment ref="DF9" dT="2025-01-22T22:14:00.37" personId="{63BE2683-CD05-475F-A892-6A6250E8BECC}" id="{57059777-D421-4752-A5B2-74ED93F1349C}">
    <text>Table 2 and 3</text>
  </threadedComment>
  <threadedComment ref="DG9" dT="2025-01-22T22:14:04.75" personId="{63BE2683-CD05-475F-A892-6A6250E8BECC}" id="{49271D72-7E6E-4AE0-A7BD-433023320796}">
    <text>Table 2 and 3</text>
  </threadedComment>
  <threadedComment ref="DJ9" dT="2025-01-22T22:22:17.20" personId="{63BE2683-CD05-475F-A892-6A6250E8BECC}" id="{65DADC0C-E558-4089-BBC5-EE023C8BF6B6}">
    <text xml:space="preserve">"Second-order meta-analyses can also account for publication bias by including published and unpublished meta-analyses, as well as meta-analyses that include unpublished studies."​ </text>
  </threadedComment>
  <threadedComment ref="DM9" dT="2025-01-22T22:23:36.34" personId="{63BE2683-CD05-475F-A892-6A6250E8BECC}" id="{AD9F0973-AA26-4A76-8C42-BBD1A3CBC602}">
    <text>“Future research should identify the cultural processes that account for differences and similarities, including cultural values, beliefs, behaviors, rituals, identities, community participation, and family socialization practices”</text>
  </threadedComment>
  <threadedComment ref="DP9" dT="2025-01-22T22:16:43.34" personId="{63BE2683-CD05-475F-A892-6A6250E8BECC}" id="{57AF5AF6-0BB7-454D-A303-978FDC0ADFDD}">
    <text xml:space="preserve">"We preregistered this study on Open Science Framework on December 18, 2017, before conducting data analyses, to facilitate replication and transparency about our methods."​ </text>
  </threadedComment>
  <threadedComment ref="DS9" dT="2025-01-22T22:18:45.23" personId="{63BE2683-CD05-475F-A892-6A6250E8BECC}" id="{535AEC20-7512-4507-8DA3-50B2F01840C8}">
    <text>All materials are available at https:// osf.io/ujcre/ 
e.g Cultural similarities meta-synthesis proposal.pdf.</text>
  </threadedComment>
  <threadedComment ref="DU9" dT="2025-01-22T22:20:29.45" personId="{63BE2683-CD05-475F-A892-6A6250E8BECC}" id="{6A10A56D-C7A8-4358-B09F-1F345A1DAB4C}">
    <text xml:space="preserve">Cultural Similarities - Data and analyses.xlsx </text>
  </threadedComment>
  <threadedComment ref="K10" dT="2024-10-06T19:12:47.02" personId="{63BE2683-CD05-475F-A892-6A6250E8BECC}" id="{86147473-8865-4ED7-8774-8F0664B102B5}">
    <text>Was two papers (same name and authors, only years differed (2017, 2016)</text>
  </threadedComment>
  <threadedComment ref="W10" dT="2024-12-01T12:32:07.41" personId="{63BE2683-CD05-475F-A892-6A6250E8BECC}" id="{C17F12D3-8571-4ADA-9353-217AE1B64804}">
    <text xml:space="preserve">. The search located three meta-analyses to serve as our sources of data (see Table 2 of this study for details): Chiaburu et al. (2011), Podsakoff et al. (2009), and Thomas et al. (2010). 1 </text>
  </threadedComment>
  <threadedComment ref="AB10" dT="2024-12-01T12:33:31.51" personId="{63BE2683-CD05-475F-A892-6A6250E8BECC}" id="{9B01DFEB-AE60-4767-AFC8-DE1355E0858D}">
    <text>“To ensure that these meta-analyses did not sample different sub-populations of the workforce, we randomly selected 10% of the primary studies from each meta-analysis (in total, 40 primary studies)”
“We found that 393 primary studies were included in these three meta-analyses. Among them, 22 studies were included in two meta-analyses (8 primary studies were included in both Chiaburu et al. (2011) and Podsakoff et al. (2009); 12 primary studies in both Chiaburu et al. (2011) and Thomas et al. (2010); and 2 primary studies in both Podsakoff et al. (2009) and Thomas et al. (2010)). No primary study was included in all three meta-analyses. Thus, if we count each of these duplicates twice, the overall ratio of overlapping primary studies (duplicates) to all primary studies is 11.2% (=44 / 393). In other words, 88.8% of all primary studies were unique to a single meta-analysis. This suggests that statistical dependence among the three input meta-analyses is modest to small.“</text>
  </threadedComment>
  <threadedComment ref="AC10" dT="2025-02-17T15:32:52.62" personId="{63BE2683-CD05-475F-A892-6A6250E8BECC}" id="{52F8BF5B-3966-471A-8367-6054CBA4EC58}">
    <text xml:space="preserve">The dataset indicates sample sizes of 15,860 for OCB-I, 12,745 for OCB-O, and 6,534 for OCB-CH. Since the possibility of overlap between these groups is not clarified, the largest reported number has been selected to provide a more comprehensive estimate. </text>
  </threadedComment>
  <threadedComment ref="AD10" dT="2024-12-01T12:35:49.65" personId="{63BE2683-CD05-475F-A892-6A6250E8BECC}" id="{14DC748B-3CAE-4ED3-A485-8F99F9F021E4}">
    <text>“… a large majority of the samples used in each meta-analysis represent North American employees. Second, all three meta-analyses reflect a wide variety of jobs located in a diverse set of organizations and industries. For example, all three meta-analyses sampled employees from the services, manufacturing, and finance, insurance, and real estate industries. Furthermore, all three meta-analyses sampled a wide variety of occupations, including nurses, engineers, mechanics, teachers, prison officers, and firefighters, with many studies indicating that samples represented various different jobs (more details are available from the first author upon request)”</text>
  </threadedComment>
  <threadedComment ref="AH10" dT="2024-12-01T12:40:05.22" personId="{63BE2683-CD05-475F-A892-6A6250E8BECC}" id="{02B4D4A1-D4C0-493E-9B6A-98D727E08DC9}">
    <text>”"We first conducted a literature search including PsychInfo, ProQuest database, and Google Scholar, searching for existing meta-analyses ”</text>
  </threadedComment>
  <threadedComment ref="AI10" dT="2024-12-01T12:41:51.46" personId="{63BE2683-CD05-475F-A892-6A6250E8BECC}" id="{08C27117-360D-45D0-9B09-9D55DDBE6FD6}">
    <text>"searching for existing meta-analyses that reported the inter-correlations (a) among task performance, OCB-I, OCB-O, and OCB-CH, and (b) their correlations with overall job performance”</text>
  </threadedComment>
  <threadedComment ref="AN10" dT="2024-12-01T12:55:45.69" personId="{63BE2683-CD05-475F-A892-6A6250E8BECC}" id="{1D1D96CE-901D-4669-BF57-CCC588E94B71}">
    <text xml:space="preserve">“We first conducted a literature search including PsychInfo, ProQuest database, and Google Scholar, searching for existing meta-analyses that reported the inter-correlations (a) among task performance, OCB-I, OCB-O, and OCB-CH, and (b) their correlations with overall job performance, respectively” </text>
  </threadedComment>
  <threadedComment ref="AO10" dT="2024-12-01T12:57:44.27" personId="{63BE2683-CD05-475F-A892-6A6250E8BECC}" id="{E3103197-4951-4C59-B700-C8A46140AA99}">
    <text>The description of the samples: "North American employees across diverse industries and job roles," including professions like nurses, engineers, and teachers​.
The lack of explicit mention of experimental designs (e.g., RCTs) or longitudinal designs.
The reliance on workplace data and correlations, typical of cross-sectional and field-based observational studies.
“The meta-analyses we used to fill the cells of our matrix are based on field studies and thus mostly on cross-sectional data. In the absence of experimental or longitudinal designs, our results cannot establish cause-and-effect connections”​</text>
  </threadedComment>
  <threadedComment ref="AW10" dT="2024-12-01T13:01:28.08" personId="{63BE2683-CD05-475F-A892-6A6250E8BECC}" id="{7A60864B-DAB5-410C-A994-48B9B9448958}">
    <text xml:space="preserve">“Meta-analytic effect sizes between several subdimensions of OCB-CH and overall performance have been reported... we included the relationships of personal initiative, voice, and taking charge (as predictors) with overall job performance”​(performance ratings”​
"The meta-analytic matrix using the corrected (meta-analytic) effect sizes reported in three previous meta-analyses (Chiaburu et al., 2011; Podsakoff et al., 2009; Thomas et al., 2010)" includes correlations​ 
</text>
  </threadedComment>
  <threadedComment ref="BJ10" dT="2024-12-01T12:52:08.58" personId="{63BE2683-CD05-475F-A892-6A6250E8BECC}" id="{5E157319-AFE1-45AC-AE79-38E74E53F4CC}">
    <text xml:space="preserve">"Among them, 22 studies were included in two meta-analyses... the overall ratio of overlapping primary studies (duplicates) to all primary studies is 11.2%"​ </text>
  </threadedComment>
  <threadedComment ref="BL10" dT="2024-12-06T07:27:06.12" personId="{4DA524E8-3868-F444-A020-D0F395DBFD3A}" id="{C333578D-5A3F-D34B-A1B8-16053D29044A}">
    <text>To ensure that these meta-analyses did not sample different sub-populations of the workforce, we randomly selected 10% of the primary studies from each meta-analysis (in total, 40 primary studies).</text>
  </threadedComment>
  <threadedComment ref="BL10" dT="2024-12-06T07:27:46.68" personId="{4DA524E8-3868-F444-A020-D0F395DBFD3A}" id="{80A61729-E4A9-9F48-8197-1C8FAA595B8F}" parentId="{C333578D-5A3F-D34B-A1B8-16053D29044A}">
    <text xml:space="preserve">We found that 393 primary studies were included in these three meta-analyses. Among them, 22 studies were included in two meta-analyses (8 primary studies were included in both Chiaburu et al. (2011) and Podsakoff et al. (2009); 12 primary studies in both Chiaburu et al. (2011) and Thomas et al. (2010); and 2 primary studies in both Podsakoff et al. (2009) and Thomas et al. (2010)). No primary study was included in all three meta-analyses. Thus, if we count each of these duplicates twice, the overall ratio of overlapping primary studies (duplicates) to all primary studies is 11.2% (=44 / 393). In other words, 88.8% of all primary studies were unique to a single meta-analysis. This suggests that statistical dependence among the three input meta-analyses is modest to small. </text>
  </threadedComment>
  <threadedComment ref="BS10" dT="2024-12-01T13:29:35.36" personId="{63BE2683-CD05-475F-A892-6A6250E8BECC}" id="{AA0B6EC0-2FE5-42D5-866B-600878D1DD6A}">
    <text xml:space="preserve">"Second-order meta-analysis adjusts for second-order sampling error to improve the accuracy of estimating relationships at the aggregate level" </text>
  </threadedComment>
  <threadedComment ref="BT10" dT="2024-12-01T13:29:13.96" personId="{63BE2683-CD05-475F-A892-6A6250E8BECC}" id="{7B0294D1-A0DF-4C71-99F0-4FA70E06595F}">
    <text xml:space="preserve">"This method provides more accurate estimates than averaging multiple first-order meta-analytic estimates by accounting for second-order sampling error" </text>
  </threadedComment>
  <threadedComment ref="CC10" dT="2024-12-01T13:31:49.18" personId="{63BE2683-CD05-475F-A892-6A6250E8BECC}" id="{C98BB281-8F65-47F3-A357-3979902949F2}">
    <text xml:space="preserve">"Second-order meta-analysis adjusts for second-order sampling error to improve the accuracy of estimating relationships at the aggregate level" </text>
  </threadedComment>
  <threadedComment ref="CD10" dT="2024-12-01T13:32:30.74" personId="{63BE2683-CD05-475F-A892-6A6250E8BECC}" id="{B837646E-1B0A-4435-A66E-D3DB5C1F0DF8}">
    <text xml:space="preserve">"This is indexed by ProVar, computed as the ratio of E(S2eρi) to σ2ρ, representing the proportion of the observed variance explained by second-order sampling error variance"​ </text>
  </threadedComment>
  <threadedComment ref="CL10" dT="2024-12-01T13:06:18.55" personId="{63BE2683-CD05-475F-A892-6A6250E8BECC}" id="{9570782F-AE23-40D4-8944-8A630F724AD9}">
    <text xml:space="preserve">"The second-order estimate of observed variance across the three OCB-CH subdimensions-to-overall performance relationships is... the proportion of the observed variance explained by the second-order sampling error variance" </text>
  </threadedComment>
  <threadedComment ref="DD10" dT="2024-12-06T07:33:53.52" personId="{4DA524E8-3868-F444-A020-D0F395DBFD3A}" id="{B9126225-61A6-A94C-AB9B-B4E5887F9ED8}">
    <text>Bar plot indicating the percent of overall performance predicted by different types of organizational citizenship behavior.</text>
  </threadedComment>
  <threadedComment ref="DF10" dT="2024-12-01T13:10:10.28" personId="{63BE2683-CD05-475F-A892-6A6250E8BECC}" id="{E35D090E-DD3E-4B1F-836D-293E80B4826F}">
    <text xml:space="preserve">Table 1: "Table 1 presents our results for the second order meta-analysis... Table 3 reports the relative importance of task performance, OCB-I, OCB-O, and OCB-CH in predicting overall job performance" </text>
  </threadedComment>
  <threadedComment ref="DM10" dT="2024-12-01T13:12:38.39" personId="{63BE2683-CD05-475F-A892-6A6250E8BECC}" id="{E2917CAE-626A-4489-A45B-56848905F5C6}">
    <text xml:space="preserve">but they noted that most samples were from North American employees, which could imply limited geographic diversity </text>
  </threadedComment>
  <threadedComment ref="AB11" dT="2025-01-09T15:32:42.44" personId="{4DA524E8-3868-F444-A020-D0F395DBFD3A}" id="{2F449265-6FAF-5C48-BDF9-D5C1208095D5}">
    <text>Four of the papers had a total 278, one mentions 213 “programs”, which we coded as incldued studies.</text>
  </threadedComment>
  <threadedComment ref="AC11" dT="2025-01-09T15:34:45.06" personId="{4DA524E8-3868-F444-A020-D0F395DBFD3A}" id="{ABB13DB3-35D8-CC41-8B5C-C46904AE2708}">
    <text>The number of participants could only be determined for two out of the five meta-analyses (4470 + 270,034)</text>
  </threadedComment>
  <threadedComment ref="AE11" dT="2025-01-02T12:53:21.27" personId="{63BE2683-CD05-475F-A892-6A6250E8BECC}" id="{ACF3DE1E-E9A5-4655-8AA1-943C708F4708}">
    <text xml:space="preserve">studies were excluded if they were not written in English </text>
  </threadedComment>
  <threadedComment ref="AG11" dT="2025-01-02T12:54:23.43" personId="{63BE2683-CD05-475F-A892-6A6250E8BECC}" id="{8BC28577-F33A-46C6-846A-E0FBBB4A6CB1}">
    <text xml:space="preserve"> “To find meta-analyses published in scientific journals, books, and unpublished reports, the following databases were used “</text>
  </threadedComment>
  <threadedComment ref="BF11" dT="2025-01-02T12:58:07.26" personId="{63BE2683-CD05-475F-A892-6A6250E8BECC}" id="{495C3FC8-9692-4C0E-9D9C-44B9C80976B2}">
    <text>“Procedures for coding outcome categories and effect size data were performed by one Bachelor’s level research assistant and one Master’s level research assistant. Both coders received training and weekly supervision from a doctoral candidate and a doctoral-level research expert in meta-analytic techniques to resolve difficulties, questions, or discrepancies that arose throughout the coding process. All studies were double-coded by the Bachelor’s level and Master’s level research assistants, with the overall agreement being 100% for outcome information and effect size data. “</text>
  </threadedComment>
  <threadedComment ref="BH11" dT="2025-01-02T12:59:07.80" personId="{63BE2683-CD05-475F-A892-6A6250E8BECC}" id="{AF1A0914-0F0E-49A3-9002-AB50BBFF1A81}">
    <text>”agreement being 100% for outcome information and effect size data. ”</text>
  </threadedComment>
  <threadedComment ref="BJ11" dT="2025-01-02T13:29:12.44" personId="{63BE2683-CD05-475F-A892-6A6250E8BECC}" id="{065E2FB6-EB88-49F7-98D9-512D07B52AEF}">
    <text>They acknowledged the potential overlap but did not quantify it. 
”The effect sizes derived from the five included first-order meta-analyses might not be fully independent, because there may be some overlap in the primary data that were synthesized in these meta-analyses. However, this overlap does not seem to be problematic, as the meta-analyses addressed different issues across different domains of interest and in different populations. Moreover, we applied the three-level statistical approach to our second-order meta-analysis to model statistical dependency arising from the fact that the five meta-analyses reported multiple relevant effect sizes”</text>
  </threadedComment>
  <threadedComment ref="BS11" dT="2025-01-02T13:45:12.52" personId="{63BE2683-CD05-475F-A892-6A6250E8BECC}" id="{A47BC410-47A1-4FE2-8418-8ACCD6D13725}">
    <text xml:space="preserve">"This three-level approach was used in estimating the overall effect of supervised practice programs as well as in testing outcome type and effect size type as moderators of the overall effect size" 
"Instead of averaging effect sizes or disregarding effect sizes, we dealt with the problem of effect size dependency by synthesizing the extracted effect sizes in three-level meta-analytic models." </text>
  </threadedComment>
  <threadedComment ref="BT11" dT="2025-01-02T13:43:05.33" personId="{63BE2683-CD05-475F-A892-6A6250E8BECC}" id="{01A45C7D-D492-4042-A8E7-007034D02B9A}">
    <text>"In our analyses, we applied a random-effects approach, as we considered the included meta-analyses to be a random sample of the population of meta-analyses”</text>
  </threadedComment>
  <threadedComment ref="CL11" dT="2025-01-02T13:48:40.00" personId="{63BE2683-CD05-475F-A892-6A6250E8BECC}" id="{4BC9F286-CFC5-450A-9CD2-B9E240FC730B}">
    <text>“Prior to conducting moderator analyses, we first examined whether there was significant between-study variance and/or significant within-study variance by performing two separate one-tailed log-likelihood ratio tests “</text>
  </threadedComment>
  <threadedComment ref="CS11" dT="2025-01-02T13:35:30.04" personId="{63BE2683-CD05-475F-A892-6A6250E8BECC}" id="{86FC68DC-7BA4-42B3-A973-39574F33F085}">
    <text>“We tested type of outcome as a moderator of the overall effect in a meta-regression “</text>
  </threadedComment>
  <threadedComment ref="CZ11" dT="2025-01-02T13:33:08.54" personId="{63BE2683-CD05-475F-A892-6A6250E8BECC}" id="{DEB8DE29-6351-4A78-AA1E-DB5D7981281F}">
    <text xml:space="preserve">“We used the R environment (Version 3.2.0; R Core Team, 2015) to build the three-level meta-analytic models using the “rma.mv” function of the metafor package (Viechtbauer, 2010). We used the R syntax as written by Assink and Wibbelink (2016) so that the three-level approach to meta-analysis (Cheung, 2014; Van den Noortgate et al., 2013) was applied in the current synthesis.” </text>
  </threadedComment>
  <threadedComment ref="DA11" dT="2025-01-02T13:57:53.98" personId="{63BE2683-CD05-475F-A892-6A6250E8BECC}" id="{A51E004E-E918-4D91-ACE5-B72AA6758542}">
    <text>Figure 1</text>
  </threadedComment>
  <threadedComment ref="DE11" dT="2025-01-02T13:59:13.99" personId="{63BE2683-CD05-475F-A892-6A6250E8BECC}" id="{55981B40-A845-44DE-A9D8-9A973297626C}">
    <text>Table 1</text>
  </threadedComment>
  <threadedComment ref="DG11" dT="2025-01-02T13:59:50.64" personId="{63BE2683-CD05-475F-A892-6A6250E8BECC}" id="{6D5CAB46-75A1-48E5-B022-C9F69EC44197}">
    <text>Table 2</text>
  </threadedComment>
  <threadedComment ref="DM11" dT="2025-01-02T14:06:49.39" personId="{63BE2683-CD05-475F-A892-6A6250E8BECC}" id="{BCD9EEF6-A1A7-4E8F-B70B-A33476F9C061}">
    <text xml:space="preserve">"variability in reporting practices resulted in incomplete demographic information on samples, including the participants’ ages" </text>
  </threadedComment>
  <threadedComment ref="AB12" dT="2025-01-16T18:28:10.40" personId="{63BE2683-CD05-475F-A892-6A6250E8BECC}" id="{2CEDE736-CEAA-49BB-9591-A274169E06EC}">
    <text>Table 1: 27 + 11 +14 + 9 + 2 + 7= 70</text>
  </threadedComment>
  <threadedComment ref="AC12" dT="2025-01-16T18:26:18.13" personId="{63BE2683-CD05-475F-A892-6A6250E8BECC}" id="{747069F3-5639-4EF5-9CFA-88009D0F4644}">
    <text>1412 individuals with a disorder and 1415 age-matched controls</text>
  </threadedComment>
  <threadedComment ref="AD12" dT="2025-01-16T18:31:12.82" personId="{63BE2683-CD05-475F-A892-6A6250E8BECC}" id="{EC1A0876-B9C0-48E6-B18C-F8DA6B8AFBD8}">
    <text xml:space="preserve">"This report used second-order meta-analysis to compare SRTT performance in Parkinson’s disease, SLI, DCD, ASD, schizophrenia, and dyslexia. The data presented summarised the results from six meta-analyses, representing data from 1412 individuals with a disease/disorder and 1415 age-matched controls"​ </text>
  </threadedComment>
  <threadedComment ref="AJ12" dT="2025-01-16T18:32:29.38" personId="{63BE2683-CD05-475F-A892-6A6250E8BECC}" id="{B53AD05C-B206-47C8-9ABE-D9BCFA1DA3AC}">
    <text xml:space="preserve">"The authors independently screened articles according to the eligibility criteria described above. There was 100% agreement on these articles"​ </text>
  </threadedComment>
  <threadedComment ref="AW12" dT="2025-01-16T18:40:12.40" personId="{63BE2683-CD05-475F-A892-6A6250E8BECC}" id="{9DD2898D-9E67-4514-942A-BD0275103A4D}">
    <text xml:space="preserve">”To facilitate comparability of the meta-analyses, all effect sizes were converted to Hedges’ g. This ensures that effect sizes can be compared directly, as they are all in the same metric. Converting from Cohen’s d to Hedges’ g involves multiplying d by a correction factor"​ </text>
  </threadedComment>
  <threadedComment ref="BJ12" dT="2025-01-16T18:41:58.98" personId="{63BE2683-CD05-475F-A892-6A6250E8BECC}" id="{4FD1F520-24E0-40D6-8EC9-B67D5E461718}">
    <text xml:space="preserve">"To ensure that each study was represented only once, articles that included data that were also reported in a larger meta-analysis were excluded" </text>
  </threadedComment>
  <threadedComment ref="BT12" dT="2025-01-16T18:47:05.62" personId="{63BE2683-CD05-475F-A892-6A6250E8BECC}" id="{81B272D2-D377-4341-B010-1A91900E1C51}">
    <text xml:space="preserve">"Following the same approach as Tamim et al. (2011), the analysis used was mixed-effects subgroup analysis"​ </text>
  </threadedComment>
  <threadedComment ref="CM12" dT="2025-01-16T18:54:10.14" personId="{63BE2683-CD05-475F-A892-6A6250E8BECC}" id="{C022335A-A2A5-4FBB-AFDA-9B8911E91BC0}">
    <text>“To investigate whether differences between the effect sizes shown in Fig. 3 were due to second-order sampling error or to systematic in fluences, the I2 statistic was calculated. “</text>
  </threadedComment>
  <threadedComment ref="CS12" dT="2025-01-16T18:54:55.08" personId="{63BE2683-CD05-475F-A892-6A6250E8BECC}" id="{61E71C22-7D3C-4A24-800C-6B67D2F8803E}">
    <text xml:space="preserve">"To address the exploratory aim of this report, that is to determine whether disorder type moderated effect sizes, mixed-effects subgroup analysis was undertaken"​ </text>
  </threadedComment>
  <threadedComment ref="CW12" dT="2025-01-16T18:53:29.61" personId="{63BE2683-CD05-475F-A892-6A6250E8BECC}" id="{C5789B37-6A91-400F-9250-229E5F5AEA15}">
    <text xml:space="preserve">"To investigate this further, the I² statistic was recalculated after removing ASD. The ensuing value was found to be less than 1, and non-significant" </text>
  </threadedComment>
  <threadedComment ref="DA12" dT="2025-01-16T18:55:53.70" personId="{63BE2683-CD05-475F-A892-6A6250E8BECC}" id="{D4A407AF-75A4-449D-9AB8-1483052A0829}">
    <text>Figure 1</text>
  </threadedComment>
  <threadedComment ref="DC12" dT="2025-01-16T18:56:15.40" personId="{63BE2683-CD05-475F-A892-6A6250E8BECC}" id="{637C2D87-666C-4C36-B040-A43FE0AC7147}">
    <text>Figure 3</text>
  </threadedComment>
  <threadedComment ref="DD12" dT="2025-01-16T18:56:49.88" personId="{63BE2683-CD05-475F-A892-6A6250E8BECC}" id="{1380E8C5-2C4D-4CF9-938E-CDC12B57C48F}">
    <text>Figure 1</text>
  </threadedComment>
  <threadedComment ref="DE12" dT="2025-01-16T18:57:10.36" personId="{63BE2683-CD05-475F-A892-6A6250E8BECC}" id="{8C89799F-DE01-4400-B58E-724D5AE53E35}">
    <text>Table 1</text>
  </threadedComment>
  <threadedComment ref="DG12" dT="2025-01-16T18:58:00.06" personId="{63BE2683-CD05-475F-A892-6A6250E8BECC}" id="{D7B6569C-23E3-47F4-B68A-D28F6452E932}">
    <text>Table 2</text>
  </threadedComment>
  <threadedComment ref="AW13" dT="2025-01-02T15:09:46.23" personId="{63BE2683-CD05-475F-A892-6A6250E8BECC}" id="{DFDF1346-E185-4EF8-ABF9-A3A7240CAD04}">
    <text xml:space="preserve">(Table 3, page 7): "Effect size types included r, Hedges’ g, Cohen’s d, β, OR, pooled prevalence, and proportion differences." </text>
  </threadedComment>
  <threadedComment ref="BI13" dT="2025-01-09T15:45:42.21" personId="{4DA524E8-3868-F444-A020-D0F395DBFD3A}" id="{57546E69-D8F9-A64A-B373-03D8FB12A5C5}">
    <text>we calculated this by 39 out of studies 286</text>
  </threadedComment>
  <threadedComment ref="BM13" dT="2025-01-02T15:34:51.00" personId="{63BE2683-CD05-475F-A892-6A6250E8BECC}" id="{B353E7F6-527B-4A19-91A1-6C370555414A}">
    <text xml:space="preserve">The rule regarding exclusions pertained to studies lacking sufficient data:
"Primary studies were omitted from particular tests because they did not report the gender composition of their sample" </text>
  </threadedComment>
  <threadedComment ref="CM13" dT="2025-01-02T16:48:11.04" personId="{63BE2683-CD05-475F-A892-6A6250E8BECC}" id="{8D3B7C82-47A5-48AD-8AAB-7CDCFC75B346}">
    <text>"The mean sample size-weighted between-study variance in gender proportion was 0.048 (Mdn = 0.025; range = 0.0004–0.23)."​ 
"Sample size-weighted between-study variance: …”</text>
  </threadedComment>
  <threadedComment ref="DD13" dT="2025-01-02T16:02:41.05" personId="{63BE2683-CD05-475F-A892-6A6250E8BECC}" id="{1DAE808E-2EEA-4D31-9DB0-B89BE758EDBE}">
    <text>Figure 2 shows a histogram of between-study variances in gender proportion. Figure 1 shows the identification and screening process of meta-analyses.</text>
  </threadedComment>
  <threadedComment ref="DE13" dT="2025-01-02T16:06:22.43" personId="{63BE2683-CD05-475F-A892-6A6250E8BECC}" id="{B12FD731-7C08-43FA-A1BC-29ABDB16F1A0}">
    <text>Table 2 and Table A</text>
  </threadedComment>
  <threadedComment ref="DG13" dT="2025-01-09T15:59:37.24" personId="{4DA524E8-3868-F444-A020-D0F395DBFD3A}" id="{9EE2922E-5477-6549-AA2B-14E207D78D76}">
    <text>Table 3</text>
  </threadedComment>
  <threadedComment ref="DM13" dT="2025-01-02T16:05:07.70" personId="{63BE2683-CD05-475F-A892-6A6250E8BECC}" id="{6FFB4151-7532-4D5A-84D3-1D17D15187D3}">
    <text xml:space="preserve">The authors acknowledged the lack of diversity in gender composition across primary studies as a major limitation.
“Most primary studies have samples that include both men and women… approximate male–female parity is the norm. This parity… makes detection difficult for the meta-analyst.”​
</text>
  </threadedComment>
  <threadedComment ref="BM15" dT="2024-10-24T10:31:32.31" personId="{63BE2683-CD05-475F-A892-6A6250E8BECC}" id="{0F213289-4ABF-45ED-9F09-B2CC5BD7B3EF}">
    <text xml:space="preserve">"Meta-analysis research that have more than a 25% overlapping ratio are presented in Table 2. On the other hand, meta-analysis research that are preferred and excluded are presented in the same table" </text>
  </threadedComment>
  <threadedComment ref="BR15" dT="2024-10-24T10:40:58.07" personId="{63BE2683-CD05-475F-A892-6A6250E8BECC}" id="{B966E1EB-D673-49A1-87E7-CBE358BEC3F8}">
    <text xml:space="preserve">Quality level: Meta-analysis research is coded according to the scores obtained from the quality scale </text>
  </threadedComment>
  <threadedComment ref="CS15" dT="2024-10-24T10:46:45.15" personId="{63BE2683-CD05-475F-A892-6A6250E8BECC}" id="{1E8861D1-5230-43D3-AA4D-95D27E610D4E}">
    <text xml:space="preserve">The authors calculated and interpreted the mean effect size for each subgroup based on different moderator variables such as outcomes (e.g., academic success, attitude, thinking skills), constructivist learning models (e.g., problem-based learning, inquiry-based learning), location, quality level, and report type. They also used Q between tests to examine whether the mean effect sizes significantly varied across moderator variables. </text>
  </threadedComment>
  <threadedComment ref="DA15" dT="2024-10-24T11:03:20.80" personId="{63BE2683-CD05-475F-A892-6A6250E8BECC}" id="{34424305-91DB-43B8-A422-E95BE8F83778}">
    <text>Figure 1</text>
  </threadedComment>
  <threadedComment ref="DB15" dT="2024-10-24T11:03:51.12" personId="{63BE2683-CD05-475F-A892-6A6250E8BECC}" id="{5461588E-A70E-4127-83B8-71A7E5FC912B}">
    <text>Figure 2</text>
  </threadedComment>
  <threadedComment ref="DG15" dT="2024-10-24T11:06:51.35" personId="{63BE2683-CD05-475F-A892-6A6250E8BECC}" id="{991CA6DF-F4DE-4380-91C5-8B4BADCFD6AC}">
    <text>Table 4</text>
  </threadedComment>
  <threadedComment ref="DM15" dT="2024-10-24T11:32:02.32" personId="{63BE2683-CD05-475F-A892-6A6250E8BECC}" id="{B35FF8AA-4DAA-4B5D-A4C5-C8A55BFF2B3E}">
    <text>“Location bias is a problem in meta-analysis research... Meta-analysis research involving China produced medium-level impact size, while meta-analysis research involving Turkey and Indonesia produced high-level impact size”</text>
  </threadedComment>
  <threadedComment ref="G16" dT="2025-02-12T21:07:30.43" personId="{63BE2683-CD05-475F-A892-6A6250E8BECC}" id="{3E769B15-6AB3-492D-9104-BCB8D8344B7F}">
    <text>The article is under psychology?</text>
  </threadedComment>
  <threadedComment ref="AG16" dT="2024-12-09T21:53:11.44" personId="{63BE2683-CD05-475F-A892-6A6250E8BECC}" id="{C20C34DA-8205-4481-AF8A-0B231667A008}">
    <text>“We additionally searched MedRxiv.org for potentially relevant preprints, and hand searched the cited references of the retrieved articles”</text>
  </threadedComment>
  <threadedComment ref="AH16" dT="2024-12-16T15:16:36.66" personId="{4DA524E8-3868-F444-A020-D0F395DBFD3A}" id="{1617ED75-E0BC-F54B-A67A-B746382F4679}">
    <text>In Online Suplemental Material Box 1</text>
  </threadedComment>
  <threadedComment ref="AJ16" dT="2024-12-09T22:07:48.75" personId="{63BE2683-CD05-475F-A892-6A6250E8BECC}" id="{8EAA2DFC-FF15-41CF-9699-4054277D01D8}">
    <text xml:space="preserve">"Two authors (ED and DT) independently searched the titles and abstracts for eligibility. Next, the full texts of potentially relevant articles were carefully read and assessed against the inclusion and exclusion criteria by the same pair of authors. Any disagreement between the two authors was resolved by a consensus with a third author (MG)." </text>
  </threadedComment>
  <threadedComment ref="AO16" dT="2024-12-09T22:15:45.59" personId="{63BE2683-CD05-475F-A892-6A6250E8BECC}" id="{1DB9AACD-17F7-4EE9-8741-594E41E00C2C}">
    <text>“We included systematic reviews with meta-analysis of observational studies (i.e., cross-sectional, case–control, cohort, etc.) that examined the prevalence of mental health symptom among hospital staff during the COVID-19 pandemic.”</text>
  </threadedComment>
  <threadedComment ref="AW16" dT="2024-12-16T14:08:36.09" personId="{4DA524E8-3868-F444-A020-D0F395DBFD3A}" id="{68E005E2-9CD4-6343-8812-5C7862F80375}">
    <text>”Prevalence estimates refer to the proportion of a population that exhibits a particular characteristic, condition, or outcome at a specific point in time or over a defined period.”</text>
  </threadedComment>
  <threadedComment ref="BF16" dT="2024-12-09T22:10:08.72" personId="{63BE2683-CD05-475F-A892-6A6250E8BECC}" id="{FF79747E-AFAB-4F61-8160-7447CCEDC6F2}">
    <text>”Independent couples of two authors (ED, DT, MM, MG) independently performed data extraction and the methodological assessment. Any disagreement throughout the processes was solved by discussion in the research team. ”</text>
  </threadedComment>
  <threadedComment ref="BQ16" dT="2024-12-09T22:41:15.10" personId="{63BE2683-CD05-475F-A892-6A6250E8BECC}" id="{268F4344-46AA-4BF3-92F1-708360C6C6F6}">
    <text>”... overall quality of the evidence on the prevalence estimates per mental health symptom as high, moderate, low or very low quality evidence based on study limitations (overall quality of the evidence identified based on AMSTAR 2), …”</text>
  </threadedComment>
  <threadedComment ref="CW16" dT="2024-12-09T23:05:31.38" personId="{63BE2683-CD05-475F-A892-6A6250E8BECC}" id="{4C78F72E-EA04-41D4-A89A-36315F7332A3}">
    <text xml:space="preserve">
"We performed a leave-one-out sensitivity analysis to determine the influence of each meta-analysis on the overall effect and to identify influential studies."
</text>
  </threadedComment>
  <threadedComment ref="DA16" dT="2024-12-09T23:07:25.74" personId="{63BE2683-CD05-475F-A892-6A6250E8BECC}" id="{C5963E44-767A-4278-9833-B361643F0CAD}">
    <text>Figure 1</text>
  </threadedComment>
  <threadedComment ref="DC16" dT="2024-12-09T23:10:06.15" personId="{63BE2683-CD05-475F-A892-6A6250E8BECC}" id="{0BEFF96D-980A-4E90-8527-40533E1ACEED}">
    <text>Figure 2</text>
  </threadedComment>
  <threadedComment ref="DF16" dT="2024-12-09T23:14:41.77" personId="{63BE2683-CD05-475F-A892-6A6250E8BECC}" id="{3991066C-E009-407F-ADF6-2C4BE560A857}">
    <text>Table 1</text>
  </threadedComment>
  <threadedComment ref="DG16" dT="2024-12-09T23:16:14.37" personId="{63BE2683-CD05-475F-A892-6A6250E8BECC}" id="{10D7DB55-9E55-4EF5-ACB1-F9109F003FE2}">
    <text>Table 2</text>
  </threadedComment>
  <threadedComment ref="DH16" dT="2024-12-16T14:18:08.38" personId="{4DA524E8-3868-F444-A020-D0F395DBFD3A}" id="{6C85ACB8-3D34-C64E-A8D7-42724E5C8D94}">
    <text>"The results of meta-analyses' quality assessment are presented in Supplemental Material Table 3."</text>
  </threadedComment>
  <threadedComment ref="DM16" dT="2024-12-09T23:20:43.59" personId="{63BE2683-CD05-475F-A892-6A6250E8BECC}" id="{CEBC94D4-CF78-43FF-AFBF-EC9A323E1C15}">
    <text xml:space="preserve">"Most of the included studies were conducted in a specific context, China, limiting the diversity of the sample." </text>
  </threadedComment>
  <threadedComment ref="DN16" dT="2024-12-16T14:19:31.81" personId="{4DA524E8-3868-F444-A020-D0F395DBFD3A}" id="{EA90E4F1-A38D-1E45-8766-00247398A46D}">
    <text>“Intriguingly, our umbrella review found substantial discrepancies in conducting, reporting, risk of bias assessment, and data synthesis in this body of research. Although most meta-analyses followed the PRISMA guidelines, there is an ongoing discussion if this guideline is appropriate for reporting prevalence meta-analysis (Borges Migliavaca et al., 2020). Another major controversial area is the risk of bias assessment of the included studies and the diverse checklists and tools used to assess their bias. However, it was encouraging that only a very low number of publications did not appraise the included studies quality. Another important finding is that solid meta-analytical synthesizing methods are lacking, and the large heterogeneity cannot be accurately explained. The different measurement scales used to collect mental health outcomes may account for the significant heterogeneity observed (Alba et al., 2016).”</text>
  </threadedComment>
  <threadedComment ref="DP16" dT="2024-12-09T23:22:55.96" personId="{63BE2683-CD05-475F-A892-6A6250E8BECC}" id="{89267CFC-70E4-4983-BF09-17631E609F75}">
    <text>"This umbrella review followed the Preferred Reporting Items for Systematic Reviews and Meta-analyses (PRISMA 2020) reporting guideline... and an a priori protocol, available on request." However, it was not formally preregistered in a repository like PROSPERO“</text>
  </threadedComment>
  <threadedComment ref="K17" dT="2025-01-17T15:10:14.48" personId="{4DA524E8-3868-F444-A020-D0F395DBFD3A}" id="{3D36BA42-61AC-0947-B2AF-7E49929934F6}">
    <text>Taken from Google scholar (as of 5 October 2024)https://scholar.google.com/scholar?hl=no&amp;as_sdt=0%2C5&amp;q=Alcohol%2C+drugs%2C+and+violence%3A+A+meta-meta-analysis&amp;btnG=</text>
    <extLst>
      <x:ext xmlns:xltc2="http://schemas.microsoft.com/office/spreadsheetml/2020/threadedcomments2" uri="{F7C98A9C-CBB3-438F-8F68-D28B6AF4A901}">
        <xltc2:checksum>2207756295</xltc2:checksum>
        <xltc2:hyperlink startIndex="48" length="118" url="https://scholar.google.com/scholar?hl=no&amp;as_sdt=0%2C5&amp;q=Alcohol%2C+drugs%2C+and+violence%3A+A+meta-meta-analysis&amp;btnG="/>
      </x:ext>
    </extLst>
  </threadedComment>
  <threadedComment ref="AG17" dT="2025-01-14T17:36:02.95" personId="{63BE2683-CD05-475F-A892-6A6250E8BECC}" id="{A1AABCD0-3F53-4EF7-B917-14597E2A4B41}">
    <text xml:space="preserve">"We reviewed the gray literature to counteract the publication bias" </text>
  </threadedComment>
  <threadedComment ref="AO17" dT="2025-01-14T17:44:01.88" personId="{63BE2683-CD05-475F-A892-6A6250E8BECC}" id="{888443E9-1712-49D9-A8A5-0C9ABDDFBADE}">
    <text xml:space="preserve">"Study design (experimental, case-control, cross-sectional, and longitudinal)." </text>
  </threadedComment>
  <threadedComment ref="AW17" dT="2025-01-14T17:41:56.93" personId="{63BE2683-CD05-475F-A892-6A6250E8BECC}" id="{FB49D741-354C-4300-AA14-8AFDB7CFBBC6}">
    <text xml:space="preserve">"We used mean standardized differences as our primary outcome statistic... All effect sizes were transformed into bias-corrected mean standardized differences (i.e., Hedges’ g)." </text>
  </threadedComment>
  <threadedComment ref="BF17" dT="2025-01-14T17:39:25.73" personId="{63BE2683-CD05-475F-A892-6A6250E8BECC}" id="{91292A74-A292-4ACF-BA78-4D3ECC6D2437}">
    <text xml:space="preserve">"All meta-analyses were initially coded by the second or third authors (K.S. and L.O.) and were recoded by the first author (A.D.)." </text>
  </threadedComment>
  <threadedComment ref="BJ17" dT="2025-01-14T17:47:18.26" personId="{63BE2683-CD05-475F-A892-6A6250E8BECC}" id="{5A8FE2D4-CE01-4C28-AB60-E8A3F56C0C68}">
    <text xml:space="preserve">They acknowledged the potential overlap but did not quantify it. 
"Another issue to raise is that meta-analytic studies included in the current investigation may include overlap in the individual studies reviewed." 
"While some prior meta-meta-analysis have attempted to correct for this overlap, it is unclear how this may have changed potential findings." </text>
  </threadedComment>
  <threadedComment ref="BT17" dT="2025-01-14T17:49:47.98" personId="{63BE2683-CD05-475F-A892-6A6250E8BECC}" id="{99C36799-D063-4E16-BBCE-E548DD09A3E4}">
    <text xml:space="preserve">"Mean weighted effect sizes are presented for random-effects models along with estimates of heterogeneity (Q and I² statistics). Moderator analyses were conducted using a mixed-effects model when there was significant heterogeneity in the overall estimate." </text>
  </threadedComment>
  <threadedComment ref="CC17" dT="2025-01-14T17:59:21.11" personId="{63BE2683-CD05-475F-A892-6A6250E8BECC}" id="{F5F9F9C9-6689-4F55-9C58-562392484A70}">
    <text xml:space="preserve">"Most meta-analyses contributed multiple aggregate effect sizes (median = 3)." </text>
  </threadedComment>
  <threadedComment ref="CD17" dT="2025-01-14T18:06:49.67" personId="{63BE2683-CD05-475F-A892-6A6250E8BECC}" id="{3D7ADC5E-36E0-4A43-971B-DE77D7789D61}">
    <text xml:space="preserve">"Most meta-analyses contributed multiple aggregate effect sizes (median = 3). Two multivariate meta-regression analyses were conducted to look at the potential influence of meta-analysis-level moderators and sample/design-level moderators." </text>
  </threadedComment>
  <threadedComment ref="CR17" dT="2025-01-14T17:53:51.42" personId="{63BE2683-CD05-475F-A892-6A6250E8BECC}" id="{D18D078F-1847-4B90-828E-71D7DACFB68B}">
    <text xml:space="preserve">"Two multivariate meta-regression analyses were conducted to look at the potential influence of meta-analysis-level moderators and sample/design-level moderators." </text>
  </threadedComment>
  <threadedComment ref="CW17" dT="2025-01-14T17:55:06.84" personId="{63BE2683-CD05-475F-A892-6A6250E8BECC}" id="{5BBC815C-D64B-4CFF-AB4E-1CC70FA1232F}">
    <text>“The relationship of substance use and violence will remain significant after accounting for characteristics specific to the meta-analyses examined for this study (i.e., number of studies included, year published, random vs. fixed effects, weighting, inclusion of unpublished studies, removal of outliers, use of multiple coders, and whether substance use and violence was the primary focus).”</text>
  </threadedComment>
  <threadedComment ref="DA17" dT="2025-01-14T18:07:44.39" personId="{63BE2683-CD05-475F-A892-6A6250E8BECC}" id="{14EABB0F-55D5-4A14-9104-99B811879FA4}">
    <text>Figure 2</text>
  </threadedComment>
  <threadedComment ref="DC17" dT="2025-01-14T18:08:39.09" personId="{63BE2683-CD05-475F-A892-6A6250E8BECC}" id="{FFA71325-923C-42F1-82C8-FE837B9CB3A4}">
    <text xml:space="preserve">Figures 3, 4, and 5 </text>
  </threadedComment>
  <threadedComment ref="DD17" dT="2025-01-14T18:09:06.11" personId="{63BE2683-CD05-475F-A892-6A6250E8BECC}" id="{EDB18D9A-0016-46A1-951F-65BBB0414F4A}">
    <text xml:space="preserve">Figure 1: A graph showing the number of articles published on substance use and violence per year </text>
  </threadedComment>
  <threadedComment ref="DE17" dT="2025-01-14T18:09:38.51" personId="{63BE2683-CD05-475F-A892-6A6250E8BECC}" id="{CE1FAE67-745B-435B-A829-FEADC146A847}">
    <text>Table 1 and 2</text>
  </threadedComment>
  <threadedComment ref="DF17" dT="2025-01-14T18:10:59.52" personId="{63BE2683-CD05-475F-A892-6A6250E8BECC}" id="{59B4A158-93B4-475E-83D4-996DE8903552}">
    <text>Table 3</text>
  </threadedComment>
  <threadedComment ref="DG17" dT="2025-01-14T18:10:38.00" personId="{63BE2683-CD05-475F-A892-6A6250E8BECC}" id="{8C36EDFC-48B0-43BE-A973-733BE8DA12A1}">
    <text>Table 3</text>
  </threadedComment>
  <threadedComment ref="DJ17" dT="2025-01-14T18:15:45.81" personId="{63BE2683-CD05-475F-A892-6A6250E8BECC}" id="{57449E95-9216-4CDD-9B2A-02867D5BBFC2}">
    <text>“A well-known limitation of existent literature is that most nonsignificant findings are not published. We reviewed the gray literature to counteract the publication bias, however, this bias is inherent to the meta-analytic approach.”</text>
  </threadedComment>
  <threadedComment ref="DL17" dT="2025-01-14T18:18:09.71" personId="{63BE2683-CD05-475F-A892-6A6250E8BECC}" id="{2B328E13-0461-4B79-B070-711BB9CC4120}">
    <text xml:space="preserve">"This wide-lens approach also provides key information needed for policy decisions." 
"Meta-meta-analytic approaches provide a parsimonious strategy for reviewing a large amount of research; however, they are in turn less focused on narrow aspects of a relationship." </text>
  </threadedComment>
  <threadedComment ref="BI18" dT="2025-02-21T12:34:58.16" personId="{63BE2683-CD05-475F-A892-6A6250E8BECC}" id="{BD96B1C3-B51B-4024-A126-E64EE57D159D}">
    <text xml:space="preserve">The original values indicate that 100% was used for assigning effect sizes to subject areas, while 25% was applied to all other variables. To provide a more balanced estimate, we have averaged these values, resulting in an overall rate of 62.5%. </text>
  </threadedComment>
  <threadedComment ref="DG18" dT="2025-02-17T07:42:59.04" personId="{63BE2683-CD05-475F-A892-6A6250E8BECC}" id="{3C3F096D-A17C-47B3-854A-CEBC1F935E18}">
    <text>Table 4 correlogram and Table 7 regression</text>
  </threadedComment>
  <threadedComment ref="AH19" dT="2024-11-21T16:30:35.23" personId="{4DA524E8-3868-F444-A020-D0F395DBFD3A}" id="{2A83CF70-9732-6946-A64C-EB581BB5FC61}">
    <text>They seem to fail to report their search terms.</text>
  </threadedComment>
  <threadedComment ref="AM19" dT="2024-11-11T21:51:32.84" personId="{63BE2683-CD05-475F-A892-6A6250E8BECC}" id="{00678478-8278-544D-866A-D1932E02F341}">
    <text xml:space="preserve">. In addition, we were open to including meta-analyses that did not appear in traditional publication outlets as long as they addressed topics that qualified as advertising topics. They qualified as such if the majority of articles that were included in the meta-analyses came from advertising, communication, or marketing journals. If the meta-analysis included less than 50% of the articles from these journals, three expert coders made a final decision regarding whether the topic of the metaanalysis qualified as an advertising topic (e.g., Lau, Sigelman, and Rovner 2007). If less than 10% of the articles were from these journals, the meta-analysis was not included (e.g., de Hoog, Stroebe, and de Wit 2007). </text>
  </threadedComment>
  <threadedComment ref="AO19" dT="2024-11-11T22:08:03.04" personId="{63BE2683-CD05-475F-A892-6A6250E8BECC}" id="{AAE8FA18-D2E6-404A-972E-E1F98EB0512E}">
    <text xml:space="preserve">under the behavioral paradigm, which often include empirical studies. The types of empirical studies typically involve experimental (e.g., RCTs), cross-sectional, and longitudinal designs. </text>
  </threadedComment>
  <threadedComment ref="BT19" dT="2024-11-11T22:54:23.93" personId="{63BE2683-CD05-475F-A892-6A6250E8BECC}" id="{1FB7D418-0175-6E48-908D-5684C7198E6C}">
    <text xml:space="preserve">“The approach is a generalization of first-order random effects (RE) meta-analysis methods to the analysis of mean effect size estimates across multiple meta-analyses” </text>
  </threadedComment>
  <threadedComment ref="CB19" dT="2024-11-11T22:53:16.83" personId="{63BE2683-CD05-475F-A892-6A6250E8BECC}" id="{EE86C66A-5269-FF4F-8F3E-D6DBF8420E4A}">
    <text xml:space="preserve">“Some meta-analyses provided only attenuated effect sizes (i.e., effect sizes that have not been corrected for measurement error). In line with the expectations of attenuation-correction, … we divided attenuated effect sizes by .87, making them about 15% larger than what the underlying meta-analysis actually reports” </text>
  </threadedComment>
  <threadedComment ref="CF19" dT="2024-11-11T22:48:54.41" personId="{63BE2683-CD05-475F-A892-6A6250E8BECC}" id="{606E2DE9-F287-D046-AB8B-62F873EEFF08}">
    <text xml:space="preserve">“To check whether the findings suffer from publication or selection bias (Eisend and Tarrahi 2014), we tested whether the effects in published and unpublished meta-analyses were the same, which was supported by the nonsignificant difference test (t = .21, p = .83)”​ </text>
  </threadedComment>
  <threadedComment ref="CM19" dT="2024-11-11T22:46:39.80" personId="{63BE2683-CD05-475F-A892-6A6250E8BECC}" id="{0C136A48-D75A-5249-A781-17534E7F8AE0}">
    <text xml:space="preserve">“We further computed the proportion of second-order sampling error to the total variance for all main relationships … the second-order sampling error variance explains less than 75% of the total variance and varies between 1% and a maximum of 36%”​ </text>
  </threadedComment>
  <threadedComment ref="CS19" dT="2024-11-11T22:42:55.99" personId="{63BE2683-CD05-475F-A892-6A6250E8BECC}" id="{020F9628-BD45-D748-843C-5C5D588CF775}">
    <text xml:space="preserve">“The meta-analytic effect sizes can be split into further subgroups, namely into combinations of input and outcome measures, to explain and reduce heterogeneity and to test our hypotheses”​ </text>
  </threadedComment>
  <threadedComment ref="DF19" dT="2024-11-11T22:34:47.95" personId="{63BE2683-CD05-475F-A892-6A6250E8BECC}" id="{70E145CC-C90A-3746-BDA1-B4706E1F9603}">
    <text>Table 3</text>
  </threadedComment>
  <threadedComment ref="DG19" dT="2025-02-17T07:43:15.11" personId="{63BE2683-CD05-475F-A892-6A6250E8BECC}" id="{CF2B48FB-CEBA-4E43-9C7B-E1AEF4B23DE3}">
    <text>Table 4</text>
  </threadedComment>
  <threadedComment ref="DJ19" dT="2025-02-17T07:49:17.11" personId="{63BE2683-CD05-475F-A892-6A6250E8BECC}" id="{CBF919FB-7A70-4C45-89F6-D52F13EE6AA4}">
    <text>not in intro or discussion</text>
  </threadedComment>
  <threadedComment ref="DL19" dT="2024-11-11T22:24:49.60" personId="{63BE2683-CD05-475F-A892-6A6250E8BECC}" id="{CBFF0142-8B90-0F4F-B6B7-1CC86D05D5B7}">
    <text xml:space="preserve">“A high degree of generalization of concepts implies heterogeneity and large variability within these concept categories. The ‘apples and oranges’ problem is common to first-order meta-analysis but is aggravated in second-order meta-analysis. The findings can be interpreted in very broad terms only (e.g., effects of source on attitudes), and they cannot be generalized to any particular source characteristic or outcome” </text>
  </threadedComment>
  <threadedComment ref="DO19" dT="2024-11-11T22:28:41.24" personId="{63BE2683-CD05-475F-A892-6A6250E8BECC}" id="{C976E557-8267-F943-9AEE-D6A578CA044C}">
    <text xml:space="preserve">"A high degree of generalization of concepts implies heterogeneity and large variability within these concept categories. ... A meta-meta-analysis is limited in evaluating existing theories that have been applied in prior individual studies. ... [Further], the meta-meta-analysis falls short when explaining the variation of effect sizes by other moderating variables (e.g., culture, sample, product categories) due to a lack of data: Data at the meta-analytic level are always based on a mix of studies from different countries, different product categories, with different samples, and so on" </text>
  </threadedComment>
  <threadedComment ref="E20" dT="2024-10-10T09:00:54.05" personId="{63BE2683-CD05-475F-A892-6A6250E8BECC}" id="{DBFBA734-46D3-473E-AA9B-148F60ADF471}">
    <text>2024</text>
  </threadedComment>
  <threadedComment ref="AB20" dT="2025-01-23T14:40:30.87" personId="{63BE2683-CD05-475F-A892-6A6250E8BECC}" id="{849B0F61-19E6-4515-9814-FC4D75C1BA2A}">
    <text>”Based on 119 effect sizes with more than 2.5 million prekindergarten and K-12 students”</text>
  </threadedComment>
  <threadedComment ref="AE20" dT="2025-01-23T14:41:46.63" personId="{63BE2683-CD05-475F-A892-6A6250E8BECC}" id="{2439E706-5ABE-4973-B0CA-6D3E99EB8027}">
    <text>”This limitation to English may have implicitly skewed our metaanalytic sample and may have overproportionately included more students, researchers, and research from English-speaking and Western countries.”</text>
  </threadedComment>
  <threadedComment ref="AG20" dT="2025-01-23T14:43:00.58" personId="{63BE2683-CD05-475F-A892-6A6250E8BECC}" id="{C9CDC76C-B751-4202-A8E2-F719E76FBDFC}">
    <text>“Our literature search was focused on meta-analyses that were published and unpublished (e.g., dissertations) and listed in the following databases …”</text>
  </threadedComment>
  <threadedComment ref="AJ20" dT="2025-01-23T14:33:29.69" personId="{63BE2683-CD05-475F-A892-6A6250E8BECC}" id="{FADBEE36-EA76-46CC-B90E-B427F3DE36A4}">
    <text>“In the initial screening, the first author and a research assistant double-screened 689 out of 3,406 references (approximately 20% of the studies) and achieved 99% agreement with Cohen’s 𝜅 = .77. Disagreements were resolved in a discussion. Next, we conducted the full-text screening. We double-screened 34 out of 109 references (approximately 31%) and achieved 91% agreement with Cohen’s 𝜅 = .72.”</text>
  </threadedComment>
  <threadedComment ref="AM20" dT="2025-02-21T11:16:00.37" personId="{63BE2683-CD05-475F-A892-6A6250E8BECC}" id="{5787B030-84ED-4373-B702-1355917CB5EE}">
    <text xml:space="preserve">The original values indicate that approximately 20% of the studies were screened during the initial phase and 31% during the full-text screening. To provide a more balanced estimate, we have averaged these values, resulting in an overall screening rate of 25.5%. </text>
  </threadedComment>
  <threadedComment ref="AO20" dT="2025-01-23T15:00:18.71" personId="{63BE2683-CD05-475F-A892-6A6250E8BECC}" id="{E3C80E30-D600-4CF9-819A-9B865CF059EF}">
    <text>”… study designs (correlational, experimental, longitudinal, interventional),  …”</text>
  </threadedComment>
  <threadedComment ref="AW20" dT="2025-01-23T15:01:39.29" personId="{63BE2683-CD05-475F-A892-6A6250E8BECC}" id="{F97E9ADC-45E8-45AD-9016-86EB431FD48B}">
    <text xml:space="preserve">“We extracted the weighted average Pearson correlations and their respective standard errors if they were available. If Pearson correlations were not available, we extracted alternative effect sizes (e.g., Cohen’s d) and transformed them into Pearson’s r.” </text>
  </threadedComment>
  <threadedComment ref="BF20" dT="2025-01-23T15:04:22.83" personId="{63BE2683-CD05-475F-A892-6A6250E8BECC}" id="{DCA8DDAB-6C53-4228-9D0C-5725627A41F8}">
    <text>“The first and the third authors independently extracted and coded the data from the full texts.“</text>
  </threadedComment>
  <threadedComment ref="BJ20" dT="2025-01-23T15:07:35.24" personId="{63BE2683-CD05-475F-A892-6A6250E8BECC}" id="{C9EB6DCF-BB17-4242-B75B-486640B5DA43}">
    <text xml:space="preserve">“After screening the meta-analyses, we reviewed their characteristics and assessed the overlap in included primary studies. First, we checked the overlap in primary studies of the included meta-analysis with the help of a cross-table in Appendix B (Pieper et al., 2014).” </text>
  </threadedComment>
  <threadedComment ref="BN20" dT="2025-01-23T15:09:02.13" personId="{63BE2683-CD05-475F-A892-6A6250E8BECC}" id="{2B5D43F9-218F-47D9-AD68-FF69B14F3132}">
    <text xml:space="preserve">“To address RQ3, we evaluated the methodological quality, reproducibility, and statistical power of the included meta-analyses with a total of 16 binary items.” </text>
  </threadedComment>
  <threadedComment ref="BQ20" dT="2025-01-23T15:11:10.29" personId="{63BE2683-CD05-475F-A892-6A6250E8BECC}" id="{D046A50E-E727-4D0B-BA13-326A2CFC30EF}">
    <text xml:space="preserve">“We reviewed the 16 items narratively (RQ3a) and entered all the items separately into the moderator analyses. We also added them together to form a sum score representing overall methodological quality of the meta-analysis (RQ3c).” </text>
  </threadedComment>
  <threadedComment ref="BR20" dT="2025-01-23T15:11:25.53" personId="{63BE2683-CD05-475F-A892-6A6250E8BECC}" id="{1804F767-E8F0-438B-AEAA-08FA417D868D}">
    <text xml:space="preserve">“Finally, to address RQ3c, we examined the possible moderating effects of methodological quality.” </text>
  </threadedComment>
  <threadedComment ref="BT20" dT="2025-01-23T15:13:18.58" personId="{63BE2683-CD05-475F-A892-6A6250E8BECC}" id="{B85CA320-D4CD-4EF0-AB8D-421C1EED7A0A}">
    <text xml:space="preserve">“We found a preference for the three-level random-effects but chose the three-level random-effects model with correlated effects as the baseline—due to its theoretical implications—for further moderator analyses.” </text>
  </threadedComment>
  <threadedComment ref="CC20" dT="2025-01-23T15:25:24.86" personId="{63BE2683-CD05-475F-A892-6A6250E8BECC}" id="{17522A68-4576-45F0-8C4D-EF3D38814B4C}">
    <text xml:space="preserve">"Given the dependencies between the multiple correlations reported in a meta-analysis, we assumed that a multilevel data structure was needed to describe the variation within and between the meta-analyses." </text>
  </threadedComment>
  <threadedComment ref="CD20" dT="2025-01-23T15:26:13.81" personId="{63BE2683-CD05-475F-A892-6A6250E8BECC}" id="{E907E471-409C-4DF7-9EDA-17B0236FD534}">
    <text xml:space="preserve">"We assumed (a) a three-level, hierarchical data structure with variances at the levels of the primary studies, within meta-analyses, and between meta-analyses." </text>
  </threadedComment>
  <threadedComment ref="CE20" dT="2025-01-23T15:22:59.76" personId="{63BE2683-CD05-475F-A892-6A6250E8BECC}" id="{A40F9EC3-F115-4147-9FAC-16F10BDC3F44}">
    <text xml:space="preserve">"To avoid replicating selectively published findings in the meta-analysis, we assessed publication bias at the level of the included meta-analyses instead of the primary studies." </text>
  </threadedComment>
  <threadedComment ref="CL20" dT="2025-01-23T15:22:12.91" personId="{63BE2683-CD05-475F-A892-6A6250E8BECC}" id="{59C3CAB9-9FE2-47AD-A604-109D61346B81}">
    <text xml:space="preserve">"We calculated Cochran’s Q to examine whether the weighted average effect sizes were heterogeneous across meta-analyses. A statistically significant Q value indicates heterogeneity within the distribution of effect sizes."
"Furthermore, we calculated the I2 indices for the heterogeneity estimates within and between meta-analyses." 
</text>
  </threadedComment>
  <threadedComment ref="CR20" dT="2025-01-23T15:18:52.91" personId="{63BE2683-CD05-475F-A892-6A6250E8BECC}" id="{23B8ECFC-FE28-4187-BDB0-7C9F0004E1E7}">
    <text xml:space="preserve">"To address RQ2a and RQ3c, we conducted moderator analyses for the publication, sample, measurement, and quality characteristics." </text>
  </threadedComment>
  <threadedComment ref="CS20" dT="2025-01-23T15:19:49.73" personId="{63BE2683-CD05-475F-A892-6A6250E8BECC}" id="{A11A9C72-B052-471E-9A0E-1FB2CB1E9232}">
    <text xml:space="preserve">"We extended the three-level random-effects model (i.e., the SOMA baseline model) to a mixed-effects (meta-regression) model by adding the potential moderating variables." </text>
  </threadedComment>
  <threadedComment ref="CW20" dT="2025-01-23T15:17:48.27" personId="{63BE2683-CD05-475F-A892-6A6250E8BECC}" id="{00868B7B-2EB2-409E-B893-B0B3FF74546C}">
    <text xml:space="preserve">"As part of our sensitivity analyses, we further examined the impact of this choice on the pooled correlation." </text>
  </threadedComment>
  <threadedComment ref="CY20" dT="2025-01-23T15:16:55.64" personId="{63BE2683-CD05-475F-A892-6A6250E8BECC}" id="{5460CDDA-C6AA-4CCD-9E0F-3C7C78896C55}">
    <text xml:space="preserve">"To complement our selection of methodological quality indicators, we calculated the statistical power of each included meta-analysis with the R package 'metameta'." </text>
  </threadedComment>
  <threadedComment ref="DA20" dT="2025-01-23T15:29:30.32" personId="{63BE2683-CD05-475F-A892-6A6250E8BECC}" id="{B11A6306-A146-4262-807B-FC71295C6A43}">
    <text>Figure 1</text>
  </threadedComment>
  <threadedComment ref="DB20" dT="2025-01-23T15:30:00.99" personId="{63BE2683-CD05-475F-A892-6A6250E8BECC}" id="{A2D02214-4296-4003-9BAC-DB2CBC45921A}">
    <text>Figure 2</text>
  </threadedComment>
  <threadedComment ref="DC20" dT="2025-01-23T15:30:28.41" personId="{63BE2683-CD05-475F-A892-6A6250E8BECC}" id="{51DC385F-2289-47FA-A608-BB058A442867}">
    <text>supplementary</text>
  </threadedComment>
  <threadedComment ref="DE20" dT="2025-01-23T15:31:40.07" personId="{63BE2683-CD05-475F-A892-6A6250E8BECC}" id="{BDA966AF-9847-44B5-9D1B-8310A077CB6A}">
    <text>Table 1</text>
  </threadedComment>
  <threadedComment ref="DG20" dT="2025-01-23T15:33:32.21" personId="{63BE2683-CD05-475F-A892-6A6250E8BECC}" id="{28839472-65F0-424D-8F86-6DE5DB2C5BBE}">
    <text>Appendix D</text>
  </threadedComment>
  <threadedComment ref="DH20" dT="2025-01-23T15:34:54.33" personId="{63BE2683-CD05-475F-A892-6A6250E8BECC}" id="{66C63F27-A874-49A2-B933-88E9B9BC5A35}">
    <text>Figure 4</text>
  </threadedComment>
  <threadedComment ref="DJ20" dT="2025-01-23T15:45:10.33" personId="{63BE2683-CD05-475F-A892-6A6250E8BECC}" id="{D4F89F1C-8C9E-4A00-85BD-EC0780BD0640}">
    <text>Not in discussion section</text>
  </threadedComment>
  <threadedComment ref="DK20" dT="2025-01-23T15:39:44.12" personId="{63BE2683-CD05-475F-A892-6A6250E8BECC}" id="{D7C7051C-675B-4C9F-8BA6-662F8FCE109D}">
    <text xml:space="preserve">"Original data, analytic code, measurement instruments, and other materials can be directly stored on open-access platforms, such as the Open Science Framework." 
"Adhering to common reporting guidelines and open science practices in both primary and meta-analytic research will facilitate future research and render it more meaningful." </text>
  </threadedComment>
  <threadedComment ref="DL20" dT="2025-01-23T15:45:55.16" personId="{63BE2683-CD05-475F-A892-6A6250E8BECC}" id="{D2D1864C-9F34-403B-857D-2D37AF45D81E}">
    <text xml:space="preserve">"This high level of abstraction applies to all second-order reviews and meta-analyses, leading to several imprecisions in the sample or the definition of constructs and their measurement." </text>
  </threadedComment>
  <threadedComment ref="DM20" dT="2025-01-23T15:46:24.52" personId="{63BE2683-CD05-475F-A892-6A6250E8BECC}" id="{04AA3B14-B6A1-4FCF-8461-A59EAFD1B26B}">
    <text xml:space="preserve">"This limitation to English may have implicitly skewed our meta-analytic sample and may have overproportionately included more students, researchers, and research from English-speaking and Western countries." </text>
  </threadedComment>
  <threadedComment ref="DP20" dT="2025-01-23T15:40:50.56" personId="{63BE2683-CD05-475F-A892-6A6250E8BECC}" id="{3DAA7710-F7A7-4DCC-AAD9-B2C1F34DBA69}">
    <text xml:space="preserve">"We preregistered the literature search parameters, stopping rules for data collection, variables, hypotheses, and planned analyses in the Open Science Framework." </text>
  </threadedComment>
  <threadedComment ref="DR20" dT="2025-01-23T15:39:31.17" personId="{63BE2683-CD05-475F-A892-6A6250E8BECC}" id="{3F9A7D8A-A29B-485F-8C1E-BE068E5B80DB}">
    <text xml:space="preserve">"Original data, analytic code, measurement instruments, and other materials can be directly stored on open-access platforms, such as the Open Science Framework." </text>
  </threadedComment>
  <threadedComment ref="DS20" dT="2025-01-23T14:31:31.22" personId="{63BE2683-CD05-475F-A892-6A6250E8BECC}" id="{9783E2A9-6EA4-41AE-B289-40ED5B4C75FC}">
    <text>“The Supplemental Material contains the data (S1), the codebook (S2), and the analytical code (S3), the detailed documentation of the literature database search (S5), the back-and-forth search (S6), the gray literature search (S7), the call for meta-analyses (S8), and the updated screening forms (S9).“</text>
  </threadedComment>
  <threadedComment ref="DT20" dT="2025-01-23T15:38:35.19" personId="{63BE2683-CD05-475F-A892-6A6250E8BECC}" id="{9C00AFEF-202A-491C-B9D0-74B309D4D142}">
    <text xml:space="preserve">"The data set and the analytic code are stored in the Supplemental Materials S1 and S3." </text>
  </threadedComment>
  <threadedComment ref="DU20" dT="2025-01-23T15:38:38.96" personId="{63BE2683-CD05-475F-A892-6A6250E8BECC}" id="{67997359-9D2B-4079-BFFE-41170335BC2D}">
    <text xml:space="preserve">"The data set and the analytic code are stored in the Supplemental Materials S1 and S3." </text>
  </threadedComment>
  <threadedComment ref="W21" dT="2024-12-01T18:23:58.41" personId="{63BE2683-CD05-475F-A892-6A6250E8BECC}" id="{87EA88F2-66F8-4591-B5CA-2DFC75C565B5}">
    <text>Table 1</text>
  </threadedComment>
  <threadedComment ref="AA21" dT="2024-12-01T18:20:48.99" personId="{63BE2683-CD05-475F-A892-6A6250E8BECC}" id="{78B954A8-1876-4158-8FCE-3C9070235F94}">
    <text xml:space="preserve">Caution: there is a discrepancy between the flow chart (q = 33) and the text (q = 34). We used the number from the text. </text>
  </threadedComment>
  <threadedComment ref="AD21" dT="2024-12-01T18:20:30.47" personId="{63BE2683-CD05-475F-A892-6A6250E8BECC}" id="{333E5B82-93AD-4A3F-8267-23A68DB76CDF}">
    <text xml:space="preserve">"The majority of meta-analyses included general population samples, including working adults ... Purely clinical samples were included in 4 meta-analyses and students were the primary population in 3 meta-analyses"​ </text>
  </threadedComment>
  <threadedComment ref="AE21" dT="2024-12-01T18:26:30.91" personId="{63BE2683-CD05-475F-A892-6A6250E8BECC}" id="{5DCE3AF8-C28D-478E-8E88-F38E53DF02C1}">
    <text xml:space="preserve">"not published in a peer-reviewed English language journal"​ </text>
  </threadedComment>
  <threadedComment ref="AG21" dT="2024-12-01T18:27:29.88" personId="{63BE2683-CD05-475F-A892-6A6250E8BECC}" id="{52958055-44CC-4B9F-B11C-33B5D6F56704}">
    <text xml:space="preserve"> "The exclusion criteria for our review were: ... (h) not published in a peer-reviewed English language journal"​ 
“The goal of our rapid review is to provide a broad summary of the current evidence drawn from published metaanalyses in order to …”</text>
  </threadedComment>
  <threadedComment ref="AO21" dT="2024-12-01T18:45:39.07" personId="{63BE2683-CD05-475F-A892-6A6250E8BECC}" id="{C41C19C8-848F-4604-9234-2C35EC05F308}">
    <text xml:space="preserve">"The inclusion criteria for our review were: (a) quantitative meta-analysis of RCTs or experimental studies"​ </text>
  </threadedComment>
  <threadedComment ref="AW21" dT="2024-12-01T18:49:53.11" personId="{63BE2683-CD05-475F-A892-6A6250E8BECC}" id="{6463AFE4-D3F6-448B-B9E0-DD00A20C3D8D}">
    <text xml:space="preserve">"We present the average effect size and 95% confidence interval as reported in the original meta-analyses in the form of a forest plot. The most common effect sizes are variations of the standardized mean difference (typically d or g ) ... we converted standardized mean differences into r and then z-transformed r"​ </text>
  </threadedComment>
  <threadedComment ref="BJ21" dT="2024-12-01T18:51:33.62" personId="{63BE2683-CD05-475F-A892-6A6250E8BECC}" id="{85544D27-7E17-46E7-AEED-513DF4F440FD}">
    <text xml:space="preserve">"Using all eligible meta-analyses may mean that identical primary studies might be included in a series of meta-analyses, leading to potential double-counting and duplication of effect sizes that would bias the overall patterns. To overcome this problem, we adopted the following strategies."​ </text>
  </threadedComment>
  <threadedComment ref="BN21" dT="2024-12-01T19:03:38.56" personId="{63BE2683-CD05-475F-A892-6A6250E8BECC}" id="{F828B4FE-F82C-4A35-986F-66E4E814BBA8}">
    <text>Tools such as the Jadad Scale or Cochrane Risk of Bias Tool were used in some of the included meta-analyses (see table 1)</text>
  </threadedComment>
  <threadedComment ref="BT21" dT="2024-12-01T19:56:36.84" personId="{63BE2683-CD05-475F-A892-6A6250E8BECC}" id="{D7D75272-FDD3-4F87-AB37-657FB410CC44}">
    <text xml:space="preserve">"The average effect sizes per intervention category were computed using rma with REML estimation in the metafor package in R (Viechtbauer, 2010)."​ 
This confirms that the modeling approach for the SOMA was the standard random-effects model, not a fixed-effects model, multivariate meta-analysis, or multilevel meta-analysis. </text>
  </threadedComment>
  <threadedComment ref="DE21" dT="2024-12-01T19:22:21.30" personId="{63BE2683-CD05-475F-A892-6A6250E8BECC}" id="{30978947-ADC7-4EED-B88E-736825376F3B}">
    <text>Table 1</text>
  </threadedComment>
  <threadedComment ref="DM21" dT="2024-12-01T19:36:46.55" personId="{63BE2683-CD05-475F-A892-6A6250E8BECC}" id="{7B70F2C3-2D76-48FB-9746-CA8A34BFFE7C}">
    <text xml:space="preserve">It is mentioned in introduction and right before the discussion. 
“The interventions are often conducted with Western, industrialized and individualistic samples (Henrich et al., 2010), requiring more attention to cultural differences in effectiveness."​ </text>
  </threadedComment>
  <threadedComment ref="DT21" dT="2024-12-06T09:04:19.14" personId="{4DA524E8-3868-F444-A020-D0F395DBFD3A}" id="{AE43D456-0641-3344-80D5-1FD132C8123D}">
    <text>Online supplemental material “analysis.code.april23.R”</text>
  </threadedComment>
  <threadedComment ref="DU21" dT="2024-12-01T19:30:20.84" personId="{63BE2683-CD05-475F-A892-6A6250E8BECC}" id="{5DD4774C-8CE4-41B8-9939-4A21410267A9}">
    <text xml:space="preserve"> table “es_final-april23.csv” in their OSM is their dataset.
</text>
  </threadedComment>
  <threadedComment ref="AO22" dT="2025-01-14T16:55:38.13" personId="{63BE2683-CD05-475F-A892-6A6250E8BECC}" id="{2707F6A4-4BB3-4455-A3F6-0D632281D329}">
    <text>The focus on meta-analyses of emotional intelligence studies, which typically rely on observational data like correlations, strongly suggests that the primary studies are predominantly cross-sectional in design.</text>
  </threadedComment>
  <threadedComment ref="AW22" dT="2025-01-14T16:37:42.05" personId="{63BE2683-CD05-475F-A892-6A6250E8BECC}" id="{25DF6D5B-2F3B-44A6-8ED6-49999F962BA5}">
    <text xml:space="preserve">"All the effect sizes we extracted from nine meta-analyses were correlation (r), so we chose correlation (r) as the type of effect size." </text>
  </threadedComment>
  <threadedComment ref="BF22" dT="2025-01-14T16:35:44.99" personId="{63BE2683-CD05-475F-A892-6A6250E8BECC}" id="{6D46C362-C0F2-4A99-83B3-0A6115BC8D57}">
    <text>"Two independent recorders (i.e., the first author and the second author) double-coded all the primary studies from collected meta-analyses…”</text>
  </threadedComment>
  <threadedComment ref="BG22" dT="2025-01-14T16:36:11.16" personId="{63BE2683-CD05-475F-A892-6A6250E8BECC}" id="{8FFACFCF-EA73-4B4D-8650-5008FAB30769}">
    <text xml:space="preserve">"Achieving an intra-class correlation (ICC) of 0.95 of coding comparison..."​ </text>
  </threadedComment>
  <threadedComment ref="BJ22" dT="2025-01-14T16:56:52.64" personId="{63BE2683-CD05-475F-A892-6A6250E8BECC}" id="{DF1B8BF6-74C5-4533-A645-0BD353FB6DE1}">
    <text xml:space="preserve">"After the literature screening, we encoded all the primary studies from collected meta-analyses, in which repetitive primary studies were coded only once. This way, we ensured the independence of the primary studies"​ </text>
  </threadedComment>
  <threadedComment ref="BT22" dT="2025-01-14T16:41:14.63" personId="{63BE2683-CD05-475F-A892-6A6250E8BECC}" id="{53705A27-8F07-4D57-AD4C-D133752757F9}">
    <text>“Therefore, we should choose random-effects model rather than fixed-effects model in following analyses.“</text>
  </threadedComment>
  <threadedComment ref="CF22" dT="2025-01-14T16:58:42.62" personId="{63BE2683-CD05-475F-A892-6A6250E8BECC}" id="{CE40B17F-1FE6-4295-B42C-5A08C175109F}">
    <text xml:space="preserve">"The mechanism for displaying the relationship between study size and effect size is the funnel plot"​ </text>
  </threadedComment>
  <threadedComment ref="CM22" dT="2025-01-14T16:43:51.48" personId="{63BE2683-CD05-475F-A892-6A6250E8BECC}" id="{D6C2B0E7-612A-4665-BDF4-6614E8A8F678}">
    <text xml:space="preserve">"… effect sizes in the field of mixed EI are heterogeneous (Q = 3882.462, df = 375, p &lt; 0.001), effect sizes in the field of ability EI are also heterogeneous (Q = 734.104, df = 107, p &lt; 0.001)"​ </text>
  </threadedComment>
  <threadedComment ref="CS22" dT="2025-01-14T17:04:00.31" personId="{63BE2683-CD05-475F-A892-6A6250E8BECC}" id="{D0F1FF71-A571-4442-BDFA-96DAFF19E4E6}">
    <text xml:space="preserve">"Meta regression was carried out, and results were as follow" </text>
  </threadedComment>
  <threadedComment ref="DB22" dT="2025-01-14T16:39:21.91" personId="{63BE2683-CD05-475F-A892-6A6250E8BECC}" id="{52C54955-AB30-45F7-823B-FDF39A10BC69}">
    <text>Figure 2</text>
  </threadedComment>
  <threadedComment ref="DD22" dT="2025-01-14T17:06:41.79" personId="{63BE2683-CD05-475F-A892-6A6250E8BECC}" id="{D6D320CB-8DCB-41B1-81E4-68C52C906E70}">
    <text xml:space="preserve">Figure 4 - 5: Regression of time on Fisher’s Z for overall EI, mixed EI, and ability EI.
Figure 6: Line chart showing changes in the number of studies over time
</text>
  </threadedComment>
  <threadedComment ref="DF22" dT="2025-01-14T17:07:29.34" personId="{63BE2683-CD05-475F-A892-6A6250E8BECC}" id="{A5F939EA-0B9B-43EC-A68A-E6E8D6D3B3D3}">
    <text>Table 3</text>
  </threadedComment>
  <threadedComment ref="DG22" dT="2025-01-14T17:07:44.16" personId="{63BE2683-CD05-475F-A892-6A6250E8BECC}" id="{6EF7AD6A-EF27-40B5-AA20-EB176AA51D52}">
    <text>Table 4</text>
  </threadedComment>
  <threadedComment ref="DK22" dT="2025-01-14T17:09:42.49" personId="{63BE2683-CD05-475F-A892-6A6250E8BECC}" id="{A1164E58-0A88-4575-9840-8B0ED6839062}">
    <text xml:space="preserve">"At present, many scientists advocate preregistration, that is, researchers openly register their studies before research"​ </text>
  </threadedComment>
  <threadedComment ref="DU22" dT="2025-01-14T17:10:30.59" personId="{63BE2683-CD05-475F-A892-6A6250E8BECC}" id="{D61693AE-9181-4EA3-A2CF-E5B4C99234F6}">
    <text xml:space="preserve">"The raw data supporting the conclusions of this manuscript will be made available by the authors, without undue reservation, to any qualified researcher"​ </text>
  </threadedComment>
  <threadedComment ref="AJ23" dT="2024-11-24T21:02:25.89" personId="{63BE2683-CD05-475F-A892-6A6250E8BECC}" id="{DC271A94-FA84-4FF9-A664-B65B822EF02C}">
    <text xml:space="preserve">"Screening of titles/abstracts and full-text articles retrieved against the eligibility criteria was performed independently by two reviewers (RH and MJP)."​ </text>
  </threadedComment>
  <threadedComment ref="AO23" dT="2024-11-24T21:07:11.81" personId="{63BE2683-CD05-475F-A892-6A6250E8BECC}" id="{3FBF99A5-B003-4727-9A2B-FB69A5D16178}">
    <text xml:space="preserve">"The objective of this study was to identify potential trial characteristics associated with reported treatment effect estimates in randomized trials of testosterone therapy in adult men." </text>
  </threadedComment>
  <threadedComment ref="AW23" dT="2024-11-24T21:07:42.41" personId="{63BE2683-CD05-475F-A892-6A6250E8BECC}" id="{477BAD90-A8FC-4589-8B2C-6BAF80551FE3}">
    <text xml:space="preserve">"Treatment effects for binary outcomes were estimated as odds ratios (ORs) and treatment effects for continuous outcomes as standardized mean differences (SMDs)." </text>
  </threadedComment>
  <threadedComment ref="BF23" dT="2024-11-28T16:22:54.58" personId="{4DA524E8-3868-F444-A020-D0F395DBFD3A}" id="{537C4861-F388-D844-B0B2-A0957136B6B4}">
    <text xml:space="preserve">“Two reviewers (MG and LB) independently extracted the
data from all the meta-analyses, and the randomized trials included in each meta-analysis, by using a standardized data collection form.” </text>
  </threadedComment>
  <threadedComment ref="BQ23" dT="2024-11-27T18:35:51.34" personId="{63BE2683-CD05-475F-A892-6A6250E8BECC}" id="{1DD57BBD-7812-4D24-9797-A316D20C8056}">
    <text>“We assessed the following domains of the tool: random sequence generation, allocation concealment, blinding of participants and personnel, blinding of outcome assessors, incomplete outcome data, and overall risk of bias. Each domain was judged as ‘‘low risk,’’ ‘‘unclear risk,’’ or ‘‘high risk of bias.’’ “</text>
  </threadedComment>
  <threadedComment ref="BR23" dT="2024-11-27T18:38:19.64" personId="{63BE2683-CD05-475F-A892-6A6250E8BECC}" id="{E18FD22A-B71B-4005-B270-CABDA89C2B4B}">
    <text xml:space="preserve">“We analyzed the association between each trial characteristic and the magnitude of a treatment effect using the two-step ‘‘meta-meta-analytic’’ approach for metaepidemiological analyses described by Sterne et al. [10] “ </text>
  </threadedComment>
  <threadedComment ref="BT23" dT="2024-11-27T19:05:04.50" personId="{63BE2683-CD05-475F-A892-6A6250E8BECC}" id="{A284F686-4797-46D9-B7A2-633D5ED0BA68}">
    <text xml:space="preserve">"We estimated a combined ROR across meta-analyses and the 95% CI by using a random-effects meta-analysis model." </text>
  </threadedComment>
  <threadedComment ref="CM23" dT="2024-11-27T19:04:12.26" personId="{63BE2683-CD05-475F-A892-6A6250E8BECC}" id="{0FB016B2-70EF-4AC9-B6F5-39436C558722}">
    <text xml:space="preserve">"The inconsistency across RORs was quantified using the I² statistic and the between-meta-analysis variance estimated by τ²." </text>
  </threadedComment>
  <threadedComment ref="CR23" dT="2024-11-27T19:04:05.60" personId="{63BE2683-CD05-475F-A892-6A6250E8BECC}" id="{A4B02838-DA17-4603-9A63-1C40A815019E}">
    <text xml:space="preserve">"We analyzed the association between each trial characteristic and the magnitude of a treatment effect using the two-step 'meta-meta-analytic' approach for meta-epidemiological analyses." </text>
  </threadedComment>
  <threadedComment ref="CS23" dT="2024-11-27T19:03:07.00" personId="{63BE2683-CD05-475F-A892-6A6250E8BECC}" id="{45410A84-CF95-4179-A59B-B50C5B181A51}">
    <text xml:space="preserve">"We estimated within each meta-analysis a ratio of odds ratio (ROR)... by using a random-effects meta-regression model." </text>
  </threadedComment>
  <threadedComment ref="CY23" dT="2024-11-27T19:00:18.67" personId="{63BE2683-CD05-475F-A892-6A6250E8BECC}" id="{E5A9EC50-F2E6-4FA1-B8DA-C0190E9E98D5}">
    <text xml:space="preserve">The authors acknowledged the potential limitation of being underpowered but did not report a formal power analysis:
"A potential explanation for the statistically nonsignificant findings in our meta-epidemiological study is the relatively small number of included meta-analyses and randomized trials." </text>
  </threadedComment>
  <threadedComment ref="DD23" dT="2024-11-27T18:43:34.28" personId="{63BE2683-CD05-475F-A892-6A6250E8BECC}" id="{B66F36EC-FF46-46FC-A717-E2B57C9F748A}">
    <text xml:space="preserve">Not different types, but supplementary figures (e.g., Figures S1–S13 in the Appendix) showing detailed results for each trial characteristic analyzed for associations with treatment effect estimates </text>
  </threadedComment>
  <threadedComment ref="DE23" dT="2024-11-27T18:44:17.47" personId="{63BE2683-CD05-475F-A892-6A6250E8BECC}" id="{99566B31-7377-4C4F-9119-154A0911EFE8}">
    <text>Table 1</text>
  </threadedComment>
  <threadedComment ref="DM23" dT="2024-11-27T18:52:00.38" personId="{63BE2683-CD05-475F-A892-6A6250E8BECC}" id="{0BA38CDC-33D4-46EB-83BB-A7F44A146211}">
    <text xml:space="preserve">he authors highlighted the limited number of included trials and meta-analyses as a potential limitation, suggesting a lack of diversity in the sample:
"A potential explanation for the statistically nonsignificant findings in our meta-epidemiological study is the relatively small number of included meta-analyses and randomized trials." </text>
  </threadedComment>
  <threadedComment ref="DP23" dT="2024-11-27T18:57:49.55" personId="{63BE2683-CD05-475F-A892-6A6250E8BECC}" id="{13AC26A9-D275-4D76-ACBC-AF3FA40E58F1}">
    <text xml:space="preserve">Since: 
"We conducted this study in accordance with a study protocol we uploaded to the Open Science Framework in April 2018 (osf.io/x9g6m)."
</text>
  </threadedComment>
  <threadedComment ref="W24" dT="2025-02-05T11:14:03.94" personId="{4DA524E8-3868-F444-A020-D0F395DBFD3A}" id="{2D0A1D6F-C236-5C4D-A37C-15A33F1F07AA}">
    <text>We only know about a handful of included meta-analysis from the Note in tables 2 and 11, from where we derived the publication range. However they state "This step identified 101 meta-analyses to review for potential inclusion in our analysis"​.</text>
  </threadedComment>
  <threadedComment ref="X24" dT="2025-02-05T15:28:33.50" personId="{4DA524E8-3868-F444-A020-D0F395DBFD3A}" id="{4075EE02-54EC-FD4C-B355-3F041314FB32}">
    <text>We only know about a handful of included meta-analysis from the Note in tables 2 and 11, from where we derived the publication range. However they state "This step identified 101 meta-analyses to review for potential inclusion in our analysis"​.</text>
  </threadedComment>
  <threadedComment ref="AB24" dT="2025-02-05T15:23:45.60" personId="{4DA524E8-3868-F444-A020-D0F395DBFD3A}" id="{A14D6455-200F-5B44-B3FF-BCDB4D544D91}">
    <text>Conservatively calculated from Table 1 by summing up all k for conscientiousness. This is likely to be an underestimation of the real value.</text>
  </threadedComment>
  <threadedComment ref="AC24" dT="2025-02-05T15:24:31.51" personId="{4DA524E8-3868-F444-A020-D0F395DBFD3A}" id="{CB1715C4-1C70-5242-AF60-446915BA4F7F}">
    <text>Conservatively calculated from Table 1 by summing up all k for conscientiousness. This is likely to be an underestimation of the real value.</text>
  </threadedComment>
  <threadedComment ref="AI24" dT="2025-01-20T10:27:24.95" personId="{63BE2683-CD05-475F-A892-6A6250E8BECC}" id="{55E6C1AB-E90B-456C-ABFB-7F086CA01672}">
    <text xml:space="preserve">"...containing the keywords meta-analy* (to meta-analysis and meta-analytic) in combination with other keywords such as performance, Big Five personality, and five-factor model." </text>
  </threadedComment>
  <threadedComment ref="AO24" dT="2025-01-20T10:40:14.65" personId="{63BE2683-CD05-475F-A892-6A6250E8BECC}" id="{A78C7566-0BA0-4304-A7CC-D304024C3A62}">
    <text xml:space="preserve">The exact designs of the primary studies within the meta-analyses are not explicitly detailed, but:
"A second-order meta-analysis allows researchers to synthesize effect sizes across multiple first-order meta-analyses across decades, countries, regions, and occupations" </text>
  </threadedComment>
  <threadedComment ref="AW24" dT="2025-01-20T10:41:49.39" personId="{63BE2683-CD05-475F-A892-6A6250E8BECC}" id="{DE4C7ED6-FFCC-4AFD-9C16-831DB45DD1C4}">
    <text xml:space="preserve">"For each first-order meta-analysis, we coded the corrected and uncorrected effect sizes that reflect the relations between the focal constructs, the overall sample size, the number of studies used to compute the effect sizes, and the variance for the observed correlations" </text>
  </threadedComment>
  <threadedComment ref="BF24" dT="2025-01-20T10:45:17.65" personId="{63BE2683-CD05-475F-A892-6A6250E8BECC}" id="{A8F09473-A53B-4D77-9026-CB85B6744F44}">
    <text xml:space="preserve">"Two authors independently coded these articles, and then met to discuss interrater discrepancies." </text>
  </threadedComment>
  <threadedComment ref="BJ24" dT="2025-01-20T10:48:08.51" personId="{63BE2683-CD05-475F-A892-6A6250E8BECC}" id="{F6E74D8A-0C76-4314-8411-CF2E4CF64793}">
    <text xml:space="preserve">"One critical assumption of this second-order approach is that the first-order meta-analyses are independent; that is, the first-order meta-analyses used for second-order meta-analysis should not contain overlapping primary studies … This requirement might be a difficult to satisfy in practice. Fortunately, Tracz, Elmore, and Pohlmann (1992) found that violations of independence did not change meta-analytic results such as means, standard deviations, and confidence intervals based on extensive simulations " </text>
  </threadedComment>
  <threadedComment ref="CL24" dT="2025-01-20T10:58:44.73" personId="{63BE2683-CD05-475F-A892-6A6250E8BECC}" id="{59A2B866-203E-4FDC-AF8D-E67AA9DE05E2}">
    <text xml:space="preserve">"Schmidt and Oh (2013) method also estimates between-meta-analysis variance (i.e., true variance); it allows us to quantify and separate second-order sampling error and true variance across first-order meta-analyses" </text>
  </threadedComment>
  <threadedComment ref="CR24" dT="2025-01-20T10:59:45.54" personId="{63BE2683-CD05-475F-A892-6A6250E8BECC}" id="{9391B878-246F-4667-9FAB-AC671D5D8284}">
    <text>"The current paper therefore evaluates variability across different meta-analyses and tests for key moderators (i.e., performance criteria, sources of ratings, and context)"</text>
  </threadedComment>
  <threadedComment ref="DE24" dT="2025-01-20T11:01:57.85" personId="{63BE2683-CD05-475F-A892-6A6250E8BECC}" id="{289FFCF2-5584-4929-AD1C-5BAF9F85DB44}">
    <text>Table 1 and other tables give some information, but not a overview of the included meta analysis.</text>
  </threadedComment>
  <threadedComment ref="DM24" dT="2025-01-20T11:16:09.86" personId="{63BE2683-CD05-475F-A892-6A6250E8BECC}" id="{A67E9E59-A71B-4222-95EC-CDAB48E928D1}">
    <text xml:space="preserve">"In terms of culture, there is a need for more data to evaluate how FFM attributes relate to job outcomes in more diverse settings" </text>
  </threadedComment>
  <threadedComment ref="AB25" dT="2025-02-17T15:21:45.71" personId="{63BE2683-CD05-475F-A892-6A6250E8BECC}" id="{E83A95F6-ECBE-44C4-AC77-88A5184B23E4}">
    <text>Our study included 18 systematic reviews (with or without meta-analysis), amounting to 99 original studies, 98 RCTs and 1 CCT (included by Kho et al., 2014), with a total of 3212 participants. - Also 8 meta-anaysis but 18 systematic reviews</text>
  </threadedComment>
  <threadedComment ref="BI25" dT="2025-02-21T12:36:16.05" personId="{63BE2683-CD05-475F-A892-6A6250E8BECC}" id="{FF649E9B-26F4-4EAE-BF07-B25F41F743A4}">
    <text>(for quality and RoB), not reported for coding</text>
  </threadedComment>
  <threadedComment ref="BI26" dT="2025-02-21T12:36:16.05" personId="{63BE2683-CD05-475F-A892-6A6250E8BECC}" id="{C46EC09A-489E-44E0-BDE3-2E6353E87420}">
    <text xml:space="preserve">The original values indicate that 33.33% was applied for study information and 50% for quality rating. To provide a more comprehensive estimate, we have averaged these values, resulting in an overall rate of 41.67%. </text>
  </threadedComment>
  <threadedComment ref="AH27" dT="2024-10-24T11:46:26.40" personId="{63BE2683-CD05-475F-A892-6A6250E8BECC}" id="{8A2AC439-D646-4BC8-9E2F-1A178468345E}">
    <text xml:space="preserve">"This review included all first-order meta-analyses that met the following criteria" </text>
  </threadedComment>
  <threadedComment ref="AM27" dT="2024-10-24T12:01:49.14" personId="{63BE2683-CD05-475F-A892-6A6250E8BECC}" id="{85E259FE-3B35-410A-9950-C452CE67C1CD}">
    <text>Four raters participated… but not said how much included?</text>
  </threadedComment>
  <threadedComment ref="AW27" dT="2024-10-24T12:10:56.18" personId="{63BE2683-CD05-475F-A892-6A6250E8BECC}" id="{90429723-B4F9-45D1-AD08-2E59C9C0F2B9}">
    <text xml:space="preserve">"The meta-analyses reported their results as Cohen’s d, the correlation coefficient r, Glass’s Δ, or Hedges’s g" </text>
  </threadedComment>
  <threadedComment ref="AW27" dT="2024-10-24T12:13:57.35" personId="{63BE2683-CD05-475F-A892-6A6250E8BECC}" id="{CCC2026D-305C-47B6-A2A1-E69A0E50A69C}" parentId="{90429723-B4F9-45D1-AD08-2E59C9C0F2B9}">
    <text xml:space="preserve">The meta-analyses reported their results as Cohen’s d, the correlation coefficient r, Glass’s Δ, or Hedges’s g. We used formulas presented in Borenstein et al. (2009) and Rosenthal and DiMatteo (2001) to convert first-order effect sizes to Cohen’s d. To describe our findings, we use the generic term standardized mean difference (SMD) instead of Cohen’s d to account for the different metrics in the primary meta-analyses. </text>
  </threadedComment>
  <threadedComment ref="CS27" dT="2024-10-24T10:46:45.15" personId="{63BE2683-CD05-475F-A892-6A6250E8BECC}" id="{B516CAD3-56D9-4CEF-B2D3-9E11E61C4BD3}">
    <text xml:space="preserve">The authors calculated and interpreted the mean effect size for each subgroup based on different moderator variables such as outcomes (e.g., academic success, attitude, thinking skills), constructivist learning models (e.g., problem-based learning, inquiry-based learning), location, quality level, and report type. They also used Q between tests to examine whether the mean effect sizes significantly varied across moderator variables. </text>
  </threadedComment>
  <threadedComment ref="DE27" dT="2024-10-24T12:21:31.12" personId="{63BE2683-CD05-475F-A892-6A6250E8BECC}" id="{E433006D-BDF8-41ED-AFAE-0FC96A64591B}">
    <text xml:space="preserve">In supplementary </text>
  </threadedComment>
  <threadedComment ref="DF27" dT="2024-10-24T12:22:07.78" personId="{63BE2683-CD05-475F-A892-6A6250E8BECC}" id="{F5670B58-D889-4257-BDDE-2C314A08949F}">
    <text xml:space="preserve">The results are summarized in Supplemental Tables S5–S10 </text>
  </threadedComment>
  <threadedComment ref="DG27" dT="2024-10-24T12:23:00.51" personId="{63BE2683-CD05-475F-A892-6A6250E8BECC}" id="{EF16CA8D-E6C1-4417-B28D-8284BB95A90B}">
    <text>The definitions of the moderators are provided in Supplemental Table S4 and Table 2</text>
  </threadedComment>
  <threadedComment ref="DH27" dT="2024-11-13T11:25:24.07" personId="{4DA524E8-3868-F444-A020-D0F395DBFD3A}" id="{CACDDA1F-DC53-4D48-BB3C-5F649FC17E68}">
    <text>Reported in Table S5</text>
  </threadedComment>
  <threadedComment ref="DN27" dT="2024-11-13T11:42:48.09" personId="{4DA524E8-3868-F444-A020-D0F395DBFD3A}" id="{5A9A7348-E60B-8840-A3B4-DF0BE19AEC2C}">
    <text>We can focus more narrowly on methodological future reserach, namely, research in meta-meta-analyses: what do the authors suggest future meta-meta-analyses should do methodologically?</text>
  </threadedComment>
  <threadedComment ref="AB28" dT="2024-12-15T09:49:43.74" personId="{63BE2683-CD05-475F-A892-6A6250E8BECC}" id="{6FCB586C-6EA6-42AA-B390-D08D957935DB}">
    <text xml:space="preserve">“This resulted in a total of 8 studies representing approximately 209 primary studies and 31,104 participants being included in our analysis.” 
“In total, 15 meta-analyses representing approximately 889 primary studies and 2,241,516 participants were included in our analysis.”
</text>
  </threadedComment>
  <threadedComment ref="AC28" dT="2024-12-16T14:30:03.52" personId="{4DA524E8-3868-F444-A020-D0F395DBFD3A}" id="{D64A47BF-ABE2-5B4E-9FE0-1407ACFD14D3}">
    <text>2241516 + 31104 = 2272620 participants.</text>
  </threadedComment>
  <threadedComment ref="AD28" dT="2024-12-16T15:26:54.62" personId="{4DA524E8-3868-F444-A020-D0F395DBFD3A}" id="{DC090D89-C032-1E43-B8FA-4483709CF972}">
    <text xml:space="preserve">"...examined the impact of parental involvement on student academic achievement for school-age children (grades K-12) in naturally occurring and intervention studies." </text>
  </threadedComment>
  <threadedComment ref="AG28" dT="2024-12-15T09:55:14.00" personId="{63BE2683-CD05-475F-A892-6A6250E8BECC}" id="{C0835AFC-D3DE-491E-87BC-98468089AC0B}">
    <text xml:space="preserve">"We limited our search to published journal articles and were unable to include unpublished or inaccessible articles." </text>
  </threadedComment>
  <threadedComment ref="AH28" dT="2024-12-15T09:55:53.10" personId="{63BE2683-CD05-475F-A892-6A6250E8BECC}" id="{47F57F69-D5DB-4354-AC37-CF33A3764D3D}">
    <text xml:space="preserve">"A systematic search of published journal articles, chapters, and reports of first order meta-analyses about parental involvement and achievement was conducted without imposing time limits." </text>
  </threadedComment>
  <threadedComment ref="AN28" dT="2024-12-15T10:09:09.50" personId="{63BE2683-CD05-475F-A892-6A6250E8BECC}" id="{A5286BAE-146B-436B-94DF-F2CA476C2098}">
    <text xml:space="preserve">"Studies on parental involvement have either focused on (1) the relation between naturally occurring parental involvement and academic outcomes..." 
"...meta-analyses of parental involvement interventions targeting student achievement (e.g., homework training, reading/literacy programs)... including randomized control trials only." 
</text>
  </threadedComment>
  <threadedComment ref="AW28" dT="2024-12-15T10:03:03.95" personId="{63BE2683-CD05-475F-A892-6A6250E8BECC}" id="{3B7F2AAD-7E8C-4DDD-965D-8D3D51B56FCA}">
    <text xml:space="preserve">"We calculated the corresponding Pearson’s r index and Hedges’ g index for each study, and converted the latter into an r index (weighted by the inverse of its variance)." </text>
  </threadedComment>
  <threadedComment ref="BF28" dT="2024-12-15T10:02:09.98" personId="{63BE2683-CD05-475F-A892-6A6250E8BECC}" id="{E9336AD4-E0CE-440A-B8F0-FF5295B06EB1}">
    <text xml:space="preserve">"Two independent coders coded for each variable." </text>
  </threadedComment>
  <threadedComment ref="BJ28" dT="2024-12-15T10:12:35.20" personId="{63BE2683-CD05-475F-A892-6A6250E8BECC}" id="{C247F274-2AE3-4EE5-A1E2-AC90E4C4CBD8}">
    <text xml:space="preserve">"We found that our total sample of meta-analyses included a total of 908 primary studies for correlational studies and 269 primary studies for intervention studies. The total number of overlapping studies was 204 (22%) for correlational studies and 51 (19%) for intervention studies." </text>
  </threadedComment>
  <threadedComment ref="BL28" dT="2024-12-15T10:16:43.34" personId="{63BE2683-CD05-475F-A892-6A6250E8BECC}" id="{3EEFCBC9-BF3F-4E70-9372-9E622004576F}">
    <text>“We found that two particular correlational meta-analytic studies presented an overlap over 26% (Fan &amp; Chen, 2001; Jeynes, 2007), but decided to keep both studies due to the small number of other studies. We note that although 5 meta-analyses were conducted by the same author (Jeynes, 2003, 2005, 2007, 2016, 2017), the overlap across studies did not exceed 25% so we retained those studies in the final analyses.”</text>
  </threadedComment>
  <threadedComment ref="BS28" dT="2024-12-15T10:26:11.65" personId="{63BE2683-CD05-475F-A892-6A6250E8BECC}" id="{9A1A026D-790D-4FE3-8859-91B1110C4635}">
    <text xml:space="preserve">"We calculated the corresponding Pearson’s r index and Hedges’ g index for each study, and converted the latter into an r index (weighted by the inverse of its variance) to provide comparable estimates." </text>
  </threadedComment>
  <threadedComment ref="CB28" dT="2024-12-15T10:29:26.89" personId="{63BE2683-CD05-475F-A892-6A6250E8BECC}" id="{269CF998-5AC6-41A5-9BA3-38DF1AE26D70}">
    <text xml:space="preserve">The paper explicitly discusses that older meta-analyses tended to report larger effect sizes, while newer studies provided more conservative estimates due to advancements in statistical methodologies. This indicates that attenuation was a consideration in the synthesis of results. 
"Older meta-analytic studies report stronger effect sizes as statistical methodology has evolved and provided increasingly better methodological tools yielding conservative estimates." </text>
  </threadedComment>
  <threadedComment ref="CF28" dT="2024-12-15T10:24:27.83" personId="{63BE2683-CD05-475F-A892-6A6250E8BECC}" id="{13DC1CC8-64E6-44F8-8238-B68E1832C0F1}">
    <text xml:space="preserve">"The funnel plot suggests imputing one effect size to the left of the mean under the random-effects model in a negative direction, with an adjusted effect size of 0.17 (0.14, 0.21)." </text>
  </threadedComment>
  <threadedComment ref="CS28" dT="2024-12-15T10:22:16.64" personId="{63BE2683-CD05-475F-A892-6A6250E8BECC}" id="{56C19F17-A9E2-4F89-A266-86314C3430E8}">
    <text xml:space="preserve">"We first examined the key moderator variable type of parental involvement (school, home, and academic socialization) using a mixed-effects model to explore variability." </text>
  </threadedComment>
  <threadedComment ref="DA28" dT="2024-12-15T10:18:13.73" personId="{63BE2683-CD05-475F-A892-6A6250E8BECC}" id="{1C52E949-B69C-4646-AA9D-5FCE34B0B45F}">
    <text>Figure 1</text>
  </threadedComment>
  <threadedComment ref="DE28" dT="2024-12-15T10:39:16.76" personId="{63BE2683-CD05-475F-A892-6A6250E8BECC}" id="{B7284E4D-4BFB-41CB-93B3-6E71427B9045}">
    <text>Tablr 1A and 1B</text>
  </threadedComment>
  <threadedComment ref="DF28" dT="2024-12-15T10:39:21.38" personId="{63BE2683-CD05-475F-A892-6A6250E8BECC}" id="{E5B79663-4AB6-4346-A841-BE0608E736DD}">
    <text xml:space="preserve">Table 2A and 2B </text>
  </threadedComment>
  <threadedComment ref="DM28" dT="2024-12-15T10:42:23.08" personId="{63BE2683-CD05-475F-A892-6A6250E8BECC}" id="{AFA4E3D2-D8DF-4329-BC44-279CF5CB4975}">
    <text xml:space="preserve">"The current frameworks of PI are drawn from European American models of parental involvement because they have been driving most of the research on parental involvement up to date." </text>
  </threadedComment>
  <threadedComment ref="W29" dT="2025-01-13T22:52:03.58" personId="{63BE2683-CD05-475F-A892-6A6250E8BECC}" id="{AE8D9ABC-A387-4449-BEE1-1C716A3E2B5F}">
    <text>The paper states "Using a database of effect sizes from previous systematic reviews that investigated the effects of correctional interventions for juveniles during the last 30 years (1980–2010)." 
However, in table 2 1984-2006 is the gap.</text>
  </threadedComment>
  <threadedComment ref="AE29" dT="2025-01-13T23:01:22.38" personId="{63BE2683-CD05-475F-A892-6A6250E8BECC}" id="{8570C67D-CE46-416B-B184-2DE23952B195}">
    <text xml:space="preserve">"Studies had to originate in the USA or a substantially similar English-speaking country (e.g., Canada, the UK, and Australia) and had to be reported in English." </text>
  </threadedComment>
  <threadedComment ref="AG29" dT="2025-01-13T23:02:05.81" personId="{63BE2683-CD05-475F-A892-6A6250E8BECC}" id="{2DB4CB40-273D-4EEB-A45D-A6637BB908CD}">
    <text xml:space="preserve">"The procedures for generating this bibliography included no restrictions according to type of report or nature of publication. Thus, books, technical reports, conference papers, theses, and dissertations, as well as published journal articles, were included." </text>
  </threadedComment>
  <threadedComment ref="AO29" dT="2025-01-13T23:14:13.24" personId="{63BE2683-CD05-475F-A892-6A6250E8BECC}" id="{63092EBD-C28A-4BDB-BCE0-36201E55B807}">
    <text xml:space="preserve">Randomized Controlled Trials (RCTs): "The strongest designs assign comparatively large numbers of offenders randomly to intervention and control conditions." 
Quasi-experimental designs: 
"The meta-analyses ... provide a breakdown of the mean effect size for different design categories, typically random versus nonrandom assignment." 
One-group pre-and-post designs: 
"...sometimes, one-group pre-and-post designs as well." </text>
  </threadedComment>
  <threadedComment ref="AW29" dT="2025-01-13T23:08:12.14" personId="{63BE2683-CD05-475F-A892-6A6250E8BECC}" id="{AAEC8066-8250-4621-A607-3FC442458FEE}">
    <text xml:space="preserve">"To facilitate comparison, the current study converted the reported mean effect sizes to phi coefficients when some other effect size statistic was used by the analyst." </text>
  </threadedComment>
  <threadedComment ref="BF29" dT="2025-01-13T23:06:44.98" personId="{63BE2683-CD05-475F-A892-6A6250E8BECC}" id="{CA864075-95FE-4520-AEE5-D1AFE83A34E7}">
    <text xml:space="preserve">"All coding operations were done by the primary author using predefined coding categories." </text>
  </threadedComment>
  <threadedComment ref="BN29" dT="2025-01-14T10:04:09.52" personId="{63BE2683-CD05-475F-A892-6A6250E8BECC}" id="{8D42E8C9-71AD-4220-B39F-ECB129F5C4BA}">
    <text xml:space="preserve">While the authors discuss methodological issues and categorize studies based on design, there is no explicit coding of methodological quality. 
"The strongest designs assign comparatively large numbers of offenders randomly to intervention and control conditions" </text>
  </threadedComment>
  <threadedComment ref="CW29" dT="2025-01-14T10:28:16.52" personId="{63BE2683-CD05-475F-A892-6A6250E8BECC}" id="{70453C13-9002-421C-8B58-207352C32485}">
    <text xml:space="preserve">Sensitivity analysis was implied when they compared the results of studies using robust designs versus less rigorous designs. 
"The grand mean effect size for the subset of studies which only included control/comparison designs in meta-analyses is negative (-0.03) and, indeed, similar to the mean for all the studies together" </text>
  </threadedComment>
  <threadedComment ref="DD29" dT="2025-01-14T10:42:29.46" personId="{63BE2683-CD05-475F-A892-6A6250E8BECC}" id="{8921B03A-DB03-42FC-BE78-850AFD3477F2}">
    <text xml:space="preserve">Figure 1 to 4 give different Distribution of mean effect sizes </text>
  </threadedComment>
  <threadedComment ref="DE29" dT="2025-01-14T10:46:56.15" personId="{63BE2683-CD05-475F-A892-6A6250E8BECC}" id="{E7D8B372-E4E3-4278-8130-424D4B3F3E11}">
    <text>Table 2</text>
  </threadedComment>
  <threadedComment ref="DF29" dT="2025-01-14T10:43:35.15" personId="{63BE2683-CD05-475F-A892-6A6250E8BECC}" id="{BBEC60A6-10F1-4BE3-A029-D2407C14E50A}">
    <text>Table 3</text>
  </threadedComment>
  <threadedComment ref="DM29" dT="2025-01-14T10:54:27.99" personId="{63BE2683-CD05-475F-A892-6A6250E8BECC}" id="{17DB24F1-8267-4A3E-8084-347FB9F7112B}">
    <text xml:space="preserve">They dont discuss lack of diversity, but mentions that they limited the sample to studies from specific cultural and geographic contexts: 
"To maintain some homogeneity in cultural context and social meaning of crime, studies had to originate in the USA or a substantially similar English-speaking country (e.g., Canada, the UK and Australia)" </text>
  </threadedComment>
  <threadedComment ref="AD30" dT="2025-01-03T08:40:57.82" personId="{63BE2683-CD05-475F-A892-6A6250E8BECC}" id="{C14CCE6A-CBB4-4864-AA6B-AAAA7175D546}">
    <text xml:space="preserve">Participants. Meta-analyses were included regardless age, sex, and race/ethnicity. </text>
  </threadedComment>
  <threadedComment ref="AE30" dT="2025-01-03T08:41:37.78" personId="{63BE2683-CD05-475F-A892-6A6250E8BECC}" id="{C6132ADA-074D-4FC5-90CA-82E11117CBAF}">
    <text xml:space="preserve">"Meta-analyses not published in English were excluded." </text>
  </threadedComment>
  <threadedComment ref="AG30" dT="2025-01-03T08:42:07.71" personId="{63BE2683-CD05-475F-A892-6A6250E8BECC}" id="{FDE50E6D-FB8E-4555-A695-B3224358B6D6}">
    <text xml:space="preserve">"...and by examining reference lists of included meta-analyses. Unpublished meta-analyses were identified by searching ProQuest Dissertations and Theses Global." </text>
  </threadedComment>
  <threadedComment ref="AJ30" dT="2025-01-03T08:46:18.06" personId="{63BE2683-CD05-475F-A892-6A6250E8BECC}" id="{4D19D44B-94CC-4C7B-9883-F118F795DEEB}">
    <text>“The first author and a trained undergraduate student independently evaluated each meta-analysis for fit. Discrepancies were resolved by the first author. “</text>
  </threadedComment>
  <threadedComment ref="AO30" dT="2025-01-08T15:59:58.11" personId="{4DA524E8-3868-F444-A020-D0F395DBFD3A}" id="{84EDC1D3-3918-8043-8D15-9A88BE48A2EA}">
    <text>The types of primary study designs included in the meta-analyses are not explicitly listed in the paper. However, based on the nature of the studies reviewed (assessing associations between SES and behavior problems), the designs might be these.</text>
  </threadedComment>
  <threadedComment ref="AW30" dT="2025-01-03T08:52:43.92" personId="{63BE2683-CD05-475F-A892-6A6250E8BECC}" id="{A52A11BD-F059-4800-89B9-74568D2ED037}">
    <text xml:space="preserve"> "We coded Pearson’s r (50% of extracted meta-analytic effects) … , Cohen’s d (17%), Hedges’ g (8%), or odds ratio (25%)."</text>
  </threadedComment>
  <threadedComment ref="BE30" dT="2025-01-03T08:51:34.39" personId="{63BE2683-CD05-475F-A892-6A6250E8BECC}" id="{B54238BC-71D7-4D9D-8240-7647C9833F65}">
    <text xml:space="preserve">"...using the inclusion and exclusion criteria (below) in Rayyan QCRI." </text>
  </threadedComment>
  <threadedComment ref="BF30" dT="2025-01-03T08:47:54.99" personId="{63BE2683-CD05-475F-A892-6A6250E8BECC}" id="{6628DB07-7DAE-4D3A-9AD8-8FF736A13782}">
    <text xml:space="preserve">"The first author extracted effect sizes and other variables... One trained graduate and one undergraduate student independently coded a subset of articles so that each included meta-analysis was coded twice." </text>
  </threadedComment>
  <threadedComment ref="BG30" dT="2025-01-03T08:49:24.14" personId="{63BE2683-CD05-475F-A892-6A6250E8BECC}" id="{2DC31213-FC12-402B-8183-88412B7AE90E}">
    <text>”Complete agreement on coding was reached by cross-referencing effect sizes and relative characteristics between all coders. ”</text>
  </threadedComment>
  <threadedComment ref="BS30" dT="2025-01-03T09:27:28.12" personId="{63BE2683-CD05-475F-A892-6A6250E8BECC}" id="{C609202D-F14F-42F6-9297-4CC5F61DC630}">
    <text>"To compute each weighted average, we used a random-effects meta-analytic approach by weighting each effect size by its corresponding inverse standard error that includes both within (v) and between (τ²) study variability." 
"Each effect size was transformed to Fisher’s Z to compute the random-effects average... Effect sizes and CI estimates were reverse-transformed (Zr to r) for interpretation." 
"We argue that weighted averages provide a more accurate estimate of the mean association because studies with less standard error (i.e., more precision) are given more weight." 
”To address our first research question, we aggregated effect sizes according to the component of socioeconomic status separately for internalizing and externalizing ”</text>
  </threadedComment>
  <threadedComment ref="BT30" dT="2025-01-03T09:22:30.46" personId="{63BE2683-CD05-475F-A892-6A6250E8BECC}" id="{1E1D50AB-2203-4E0D-9DDB-5625AD1357CC}">
    <text xml:space="preserve">"To compute each weighted average, we used a random-effects meta-analytic approach by weighting each effect size by its corresponding inverse standard error that includes both within (v) and between (τ²) study variability." </text>
  </threadedComment>
  <threadedComment ref="CC30" dT="2025-01-03T09:21:06.80" personId="{63BE2683-CD05-475F-A892-6A6250E8BECC}" id="{57444C49-8833-487A-801A-D11D66628934}">
    <text xml:space="preserve">"For each moderator analysis, we only included one effect size from each meta-analysis to avoid comparing dependent effect sizes." </text>
  </threadedComment>
  <threadedComment ref="CM30" dT="2025-01-03T09:31:53.97" personId="{63BE2683-CD05-475F-A892-6A6250E8BECC}" id="{4FAA09B2-D55A-4F52-9610-1DAA29806A51}">
    <text xml:space="preserve">"We report an index of heterogeneity (I²) and estimated population variance (τ²) of the overall weighted associations." </text>
  </threadedComment>
  <threadedComment ref="CS30" dT="2025-01-03T09:44:16.36" personId="{63BE2683-CD05-475F-A892-6A6250E8BECC}" id="{97DD87FB-E425-4850-8AF2-21FAFFB87304}">
    <text xml:space="preserve">Subgroup Analysis by Age, Sex, and Race/Ethnicity:
"We examined if the magnitude of association between each component of socioeconomic status and behavior problems varied by the age range of the meta-analytic sample (e.g., children, adolescents, and adults), sex composition, and racial/ethnic composition." 
Q-test-based categorical comparisons:
"To assess if age, sex, and race/ethnicity moderated the magnitude of association between components of socioeconomic status and behavior problems, we followed meta-analytic techniques of categorical comparisons using the Q test based analysis of variance with random effects." 
</text>
  </threadedComment>
  <threadedComment ref="DA30" dT="2025-01-03T09:46:24.10" personId="{63BE2683-CD05-475F-A892-6A6250E8BECC}" id="{23B53D05-7507-42EE-ACF1-BCA62BD38A40}">
    <text>Figure 1</text>
  </threadedComment>
  <threadedComment ref="DC30" dT="2025-01-03T09:46:59.87" personId="{63BE2683-CD05-475F-A892-6A6250E8BECC}" id="{A9A6AC01-3417-473E-AFFB-5141D79B2843}">
    <text>Figure 2</text>
  </threadedComment>
  <threadedComment ref="DE30" dT="2025-01-03T09:47:45.08" personId="{63BE2683-CD05-475F-A892-6A6250E8BECC}" id="{D7ED290B-18B5-4379-9895-A3047EE3E7EF}">
    <text>Table 1</text>
  </threadedComment>
  <threadedComment ref="DK30" dT="2025-01-03T09:52:36.32" personId="{63BE2683-CD05-475F-A892-6A6250E8BECC}" id="{91F52F80-D13F-4D13-9DA9-BAB2DA7A3A4D}">
    <text xml:space="preserve">"We preregistered this study on Open Science Framework (https://osf.io/2e8kc/) on March 23, 2018, before conducting analyses, to embrace best research practices." </text>
    <extLst>
      <x:ext xmlns:xltc2="http://schemas.microsoft.com/office/spreadsheetml/2020/threadedcomments2" uri="{F7C98A9C-CBB3-438F-8F68-D28B6AF4A901}">
        <xltc2:checksum>956983337</xltc2:checksum>
        <xltc2:hyperlink startIndex="56" length="21" url="https://osf.io/2e8kc/"/>
      </x:ext>
    </extLst>
  </threadedComment>
  <threadedComment ref="DL30" dT="2025-01-03T10:13:21.55" personId="{63BE2683-CD05-475F-A892-6A6250E8BECC}" id="{047E88D0-A09F-4613-A30E-110B93C571A8}">
    <text xml:space="preserve">In the discussion, the authors acknowledge that the high degree of abstraction in their SOMA, due to averaging across components like income, education, and occupation, may obscure specific mechanisms and nuanced effects of these components on behavior problems. 
"Second-order meta-analysis can facilitate this accumulation because it averages across meta-analytic effects to provide the most comprehensive estimate of an association." 
"Composite indices present a conundrum. On one hand, a negative association between indices of socioeconomic status and certain behavior problems may reflect a type of higher order effect of resources (or deficits) connected to power and prestige. On the other hand, indices of socioeconomic status may obscure more specific lower order effects linked to a particular component." 
“Determining the more precise connections between behavior problems, socioeconomic status, and its components, thus, becomes critical if one is to effectively target prevention and intervention efforts. It is best practice to examine components independently as well as collectively”
</text>
  </threadedComment>
  <threadedComment ref="DM30" dT="2025-01-03T10:01:38.32" personId="{63BE2683-CD05-475F-A892-6A6250E8BECC}" id="{992A241C-9545-4B93-9826-CF08148720EE}">
    <text>”we could not test moderation by race/ ethnicity”
”Considering culture in future research is also important in light of findings showing an increased prevalence of depression for Whites”</text>
  </threadedComment>
  <threadedComment ref="DP30" dT="2025-01-03T09:54:47.04" personId="{63BE2683-CD05-475F-A892-6A6250E8BECC}" id="{FDF7FB91-6190-4435-874F-C37CC72A3DE4}">
    <text>"We preregistered this study“</text>
  </threadedComment>
  <threadedComment ref="DS30" dT="2025-01-03T09:55:41.40" personId="{63BE2683-CD05-475F-A892-6A6250E8BECC}" id="{3BDD9C60-5B66-4063-AAB2-4AEA0312BF22}">
    <text xml:space="preserve">"We created a coding manual to guide coding and facilitate replication (https://osf.io/ge2u3/)." </text>
    <extLst>
      <x:ext xmlns:xltc2="http://schemas.microsoft.com/office/spreadsheetml/2020/threadedcomments2" uri="{F7C98A9C-CBB3-438F-8F68-D28B6AF4A901}">
        <xltc2:checksum>1424516452</xltc2:checksum>
        <xltc2:hyperlink startIndex="72" length="21" url="https://osf.io/ge2u3/"/>
      </x:ext>
    </extLst>
  </threadedComment>
  <threadedComment ref="DT30" dT="2025-01-03T09:57:17.09" personId="{63BE2683-CD05-475F-A892-6A6250E8BECC}" id="{1A1F67E3-4509-4AD0-83AD-D86FA3A71E44}">
    <text xml:space="preserve">"For data and syntax, see https://osf.io/49xyk/." </text>
    <extLst>
      <x:ext xmlns:xltc2="http://schemas.microsoft.com/office/spreadsheetml/2020/threadedcomments2" uri="{F7C98A9C-CBB3-438F-8F68-D28B6AF4A901}">
        <xltc2:checksum>3124090140</xltc2:checksum>
        <xltc2:hyperlink startIndex="26" length="21" url="https://osf.io/49xyk/"/>
      </x:ext>
    </extLst>
  </threadedComment>
  <threadedComment ref="BL31" dT="2024-10-18T06:47:58.40" personId="{63BE2683-CD05-475F-A892-6A6250E8BECC}" id="{C9D99D14-48D0-455C-9BBB-F6197666C398}">
    <text>“The meta-analysis with the highest percentage of overlapping studies was removed and percentages of overlap in the remaining meta-analyses were recalculated. This recursive process was repeated until an acceptable level of overlap (i.e., 50% and 25%) in each meta-analysis was achieved”</text>
  </threadedComment>
  <threadedComment ref="AB32" dT="2024-11-22T10:39:36.48" personId="{4DA524E8-3868-F444-A020-D0F395DBFD3A}" id="{D9E7EA88-6125-E44C-B5C2-C434FBBFD9F2}">
    <text>Overall, at post-measurement, 411 primary studies (reported in 436 articles) were included in the meta-meta-analyses and 135 at follow-up (reported in 148 articles).</text>
  </threadedComment>
  <threadedComment ref="AC32" dT="2024-11-22T10:52:39.37" personId="{4DA524E8-3868-F444-A020-D0F395DBFD3A}" id="{0D25DAFF-4C72-E04C-BA01-7980EDF16B3D}">
    <text>For Carr et al., we added 772 pre FU; for Leijten, Melendez-Torres, et al, we added both meta-analyses (13478 + 5648); Maughen et al we added the full 3171; for Sanders et al and Tellegen and Sanders, we added 1 participant per family; and for Serketich &amp; Dumas, we multipled the Mean number of participants by the number of studies (26*28.86=750.36) and rounded the result; and for Thomas / Zimmer-gembeck, we added all 1519 participants.</text>
  </threadedComment>
  <threadedComment ref="AI32" dT="2024-11-20T20:29:57.84" personId="{63BE2683-CD05-475F-A892-6A6250E8BECC}" id="{EF9D8AF2-8EBB-44F7-9DDF-AC4842C4C688}">
    <text xml:space="preserve">More detailed in supplementary
</text>
  </threadedComment>
  <threadedComment ref="AJ32" dT="2024-11-20T20:41:58.41" personId="{63BE2683-CD05-475F-A892-6A6250E8BECC}" id="{F6F8FEC5-4B90-4EC4-AF8C-43EC34A3C442}">
    <text xml:space="preserve">"Eligibility assessment was independently realized by two reviewers (LW, TM)." </text>
  </threadedComment>
  <threadedComment ref="AK32" dT="2024-11-20T20:42:45.77" personId="{63BE2683-CD05-475F-A892-6A6250E8BECC}" id="{B237DB77-BBAB-40DD-8B8E-BB85E3542946}">
    <text>“Disagreements were subsequently resolved by consensus.”</text>
  </threadedComment>
  <threadedComment ref="AO32" dT="2024-11-20T21:05:07.20" personId="{63BE2683-CD05-475F-A892-6A6250E8BECC}" id="{26AA344C-ADA4-430B-85A8-62676A8D9891}">
    <text>"While 20 meta-analyses exclusively considered controlled trials, 8 meta-analyses included controlled as well as uncontrolled trials."
"Effects were estimated on the one hand as comparisons of experimental and control groups and on the other hand on pre- to post-/follow-up-measures.”</text>
  </threadedComment>
  <threadedComment ref="BF32" dT="2024-11-20T20:45:37.56" personId="{63BE2683-CD05-475F-A892-6A6250E8BECC}" id="{1C74263E-58FF-4923-AF05-1279B8930E7C}">
    <text>“Two reviewers checked the extracted data, and disagreements were resolved by consulting the articles and by discussion between the two authors”</text>
  </threadedComment>
  <threadedComment ref="BI32" dT="2024-11-22T11:00:50.95" personId="{4DA524E8-3868-F444-A020-D0F395DBFD3A}" id="{F1FFD468-2334-414A-ABEE-26A7E370651F}">
    <text xml:space="preserve">Two reviewers checked the extracted data, and disagreements were resolved by consulting the articles and by discussion between the two authors.
</text>
  </threadedComment>
  <threadedComment ref="BL32" dT="2024-11-20T20:53:16.23" personId="{63BE2683-CD05-475F-A892-6A6250E8BECC}" id="{42EA32A4-CA4A-44B2-9F99-008332F0FDC0}">
    <text xml:space="preserve">“To establish that each primary study contributed only once to the meta-meta-analysis, an adjusted value was estimated for each primary study that was included in multiple meta-analyses.”​ </text>
  </threadedComment>
  <threadedComment ref="BR32" dT="2024-11-20T20:50:37.86" personId="{63BE2683-CD05-475F-A892-6A6250E8BECC}" id="{CF56CCFB-1D4C-4F52-A0CF-9A43AA5595A3}">
    <text xml:space="preserve">The information was used to interpret the robustness of the findings and to discuss limitations of included meta-analyses.
“The mean quality index was 38.88 (SD = 6.85, range 24–49.5). Overall, the quality of the included meta-analyses is satisfactory as the mean quality index exceeds the benchmark of two-thirds of the total score.”​
</text>
  </threadedComment>
  <threadedComment ref="CD32" dT="2024-11-20T20:30:10.68" personId="{63BE2683-CD05-475F-A892-6A6250E8BECC}" id="{A87CC8ED-A30F-45A3-8DD0-08DBD880FD07}">
    <text xml:space="preserve">"For each meta-analysis, effect estimates were transformed to standardized mean differences (SMD). Only effect estimates that were based on at least two primary studies were used. If a meta-analysis stated multiple effect sizes for one outcome, these estimates were aggregated into a single effect size. Thus, each meta-analysis contributed only one effect size to the meta-meta-analysis." </text>
  </threadedComment>
  <threadedComment ref="DE32" dT="2024-11-20T20:04:31.06" personId="{63BE2683-CD05-475F-A892-6A6250E8BECC}" id="{6DBCD303-DAD1-4D4B-B058-3AE8DAC19E8E}">
    <text>Table 1</text>
  </threadedComment>
  <threadedComment ref="DF32" dT="2024-11-20T20:06:20.87" personId="{63BE2683-CD05-475F-A892-6A6250E8BECC}" id="{224168B6-03D5-41CD-9073-877C8D84648F}">
    <text xml:space="preserve">Tables C and D in the supplementary materials (S3 File). </text>
  </threadedComment>
  <threadedComment ref="DJ32" dT="2024-11-20T20:09:01.74" personId="{63BE2683-CD05-475F-A892-6A6250E8BECC}" id="{AE8D8FA9-57AE-466E-BA61-FF0F4B74C415}">
    <text>In limitations</text>
  </threadedComment>
  <threadedComment ref="DM32" dT="2024-11-20T20:18:53.38" personId="{63BE2683-CD05-475F-A892-6A6250E8BECC}" id="{E04B9F4F-F39D-4421-8FB1-5ABE6E506D39}">
    <text xml:space="preserve">“Future studies should distinguish more carefully between prevention and clinical studies, or at least take special care to report more details of the included populations, especially concerning initial problem severity.” </text>
  </threadedComment>
  <threadedComment ref="M33" dT="2025-01-02T17:47:28.66" personId="{63BE2683-CD05-475F-A892-6A6250E8BECC}" id="{377794BB-C6B9-5F40-A601-D19B9C3D37EA}">
    <text>In intro page 1026: ”Similarly, without a trustworthy benchmark about how much improvement in employee well‐being can be expected, HR practitioners might ‘oversell’ or ‘undersell’ the importance of exercising mindfulness at work. Thus, our work's first contribution is to summarise the effect sizes of MBIs on employee well‐being by conducting a ‘bare‐bones’ second‐order meta‐analysis”</text>
  </threadedComment>
  <threadedComment ref="U33" dT="2025-01-02T17:47:28.66" personId="{63BE2683-CD05-475F-A892-6A6250E8BECC}" id="{AB7E66AB-BE21-48D3-92D2-FC93A9957B86}">
    <text>In intro page 1026: ”Similarly, without a trustworthy benchmark about how much improvement in employee well‐being can be expected, HR practitioners might ‘oversell’ or ‘undersell’ the importance of exercising mindfulness at work. Thus, our work's first contribution is to summarise the effect sizes of MBIs on employee well‐being by conducting a ‘bare‐bones’ second‐order meta‐analysis”</text>
  </threadedComment>
  <threadedComment ref="AC33" dT="2025-02-05T15:17:20.25" personId="{4DA524E8-3868-F444-A020-D0F395DBFD3A}" id="{CA7EA2D0-06FD-2442-AB33-0CEAE3A04F93}">
    <text>They only report k = 409 and n = 22,500 before removing one (supposidly very comprehensive) article.</text>
  </threadedComment>
  <threadedComment ref="AE33" dT="2025-01-02T17:52:40.82" personId="{63BE2683-CD05-475F-A892-6A6250E8BECC}" id="{FF437ABA-EAD0-42BD-915C-34E060C21135}">
    <text xml:space="preserve">"Our inclusion criteria were similar to Lomas et al. (2019), mainly ... (5) written in English." </text>
  </threadedComment>
  <threadedComment ref="AG33" dT="2025-01-02T17:53:06.02" personId="{63BE2683-CD05-475F-A892-6A6250E8BECC}" id="{A9E031FA-99A4-4767-90B7-3D3B068C603E}">
    <text xml:space="preserve">"Our inclusion criteria were similar to Lomas et al. (2019), mainly ... (4) published in a peer-reviewed academic journal." </text>
  </threadedComment>
  <threadedComment ref="BT33" dT="2025-01-02T18:07:35.95" personId="{63BE2683-CD05-475F-A892-6A6250E8BECC}" id="{42D69F27-B6BE-4730-8A59-3AE16F4AC304}">
    <text xml:space="preserve">"Our work's first contribution is to summarise the effect sizes of MBIs on employee well-being by conducting a ‘bare-bones’ second-order meta-analysis"​ </text>
  </threadedComment>
  <threadedComment ref="CB33" dT="2025-01-03T07:47:55.14" personId="{63BE2683-CD05-475F-A892-6A6250E8BECC}" id="{32A03030-32E9-40F3-8213-5FA5DA236996}">
    <text>"The second-order sampling error accounted for 12.10% of the total variance among first-order meta-analyses. In turn, the true sampling error explained 1% of the variance between first-order meta-analyses."​
Additionally: "After correcting for sampling error, extant MBIs were more effective in reducing negative states such as distress (g = −0.74) than in fostering eudaimonic well-being criteria (g = 0.58)."
This explanation reveals that adjustments were made to account for sampling errors, which naturally attenuate the raw effect sizes to yield corrected or unbiased estimates.</text>
  </threadedComment>
  <threadedComment ref="CM33" dT="2025-01-02T18:13:26.79" personId="{63BE2683-CD05-475F-A892-6A6250E8BECC}" id="{B55AC942-7F38-4960-A585-34A94100120C}">
    <text xml:space="preserve">"The second-order sampling error accounted for 12.10% of the total variance among first-order meta-analyses. In turn, the true sampling error explained 1% of the variance between first-order meta-analyses. Finally, the reliability of the first-order overall effect size was 0.88"​ </text>
  </threadedComment>
  <threadedComment ref="CY33" dT="2025-01-02T18:10:33.84" personId="{63BE2683-CD05-475F-A892-6A6250E8BECC}" id="{F2948645-7070-4924-A5AA-35BE89DBF745}">
    <text xml:space="preserve">"Based on the effect sizes detected in Phase 1, we used G*power 3.1 (Faul et al., 2009) to calculate our minimum viable sample size" </text>
  </threadedComment>
  <threadedComment ref="DA33" dT="2025-01-02T18:32:58.67" personId="{63BE2683-CD05-475F-A892-6A6250E8BECC}" id="{7B943927-E38D-4CCE-8A8E-FBB25312CFA6}">
    <text>Figure 2</text>
  </threadedComment>
  <threadedComment ref="DF33" dT="2025-01-02T18:34:29.00" personId="{63BE2683-CD05-475F-A892-6A6250E8BECC}" id="{D2EA0590-4EB6-4398-A6CF-79267E2734FC}">
    <text>Table 1</text>
  </threadedComment>
  <threadedComment ref="DM33" dT="2025-01-03T08:20:25.97" personId="{63BE2683-CD05-475F-A892-6A6250E8BECC}" id="{02D70CF8-FC4B-48C0-B6DF-CFB296754BD9}">
    <text>”Second, our sample has some limitations, as it consisted of female registered nurses from a small healthcare organisation, and, thus, other professions were not represented in our study”</text>
  </threadedComment>
  <threadedComment ref="DU33" dT="2025-01-02T18:42:56.64" personId="{63BE2683-CD05-475F-A892-6A6250E8BECC}" id="{DB28027B-F38D-4BED-8013-7E0923AA250B}">
    <text>Supplementary: "The data that support the findings of this study are openly available at …”</text>
  </threadedComment>
  <threadedComment ref="L34" dT="2024-11-20T21:08:43.65" personId="{63BE2683-CD05-475F-A892-6A6250E8BECC}" id="{8936B1E0-437D-4ABC-A41D-36FB3E124423}">
    <text xml:space="preserve">Institute of Social and Preventive Medicine, University of Bern, Switzerland </text>
  </threadedComment>
  <threadedComment ref="AA34" dT="2024-11-22T11:13:24.74" personId="{4DA524E8-3868-F444-A020-D0F395DBFD3A}" id="{46F53A2B-BA89-584A-BC4F-2AD61DB34AC1}">
    <text>30 meta-analyses were reported in 29 publications.</text>
  </threadedComment>
  <threadedComment ref="AJ34" dT="2024-11-20T21:57:54.94" personId="{63BE2683-CD05-475F-A892-6A6250E8BECC}" id="{9E7D6D02-0E37-41C3-8CB9-8D6C326CB3DA}">
    <text>“Potentially relevant records were retrieved in full-text form and were reviewed independently by a doctoral-level psychologist and a master's student.”</text>
  </threadedComment>
  <threadedComment ref="AK34" dT="2024-11-20T22:00:01.88" personId="{63BE2683-CD05-475F-A892-6A6250E8BECC}" id="{63B0F841-BB9E-4AEF-9C35-1670C040ACCF}">
    <text xml:space="preserve">
disagreements were resolved through discussion but does not provide specific metrics for inter-rater reliability.
</text>
  </threadedComment>
  <threadedComment ref="AW34" dT="2024-11-20T22:07:19.60" personId="{63BE2683-CD05-475F-A892-6A6250E8BECC}" id="{5FA6BD99-06F5-423E-AE1F-5D1626394DC3}">
    <text xml:space="preserve">“All estimates of the RA-outcome association were transformed into r-class effect sizes.”
“For meta-analyses that used continuous RA measures, we extracted r whenever reported... standardized regression weights were extracted, and Cohen's d was transformed into r.” </text>
  </threadedComment>
  <threadedComment ref="BJ34" dT="2024-11-20T22:13:52.52" personId="{63BE2683-CD05-475F-A892-6A6250E8BECC}" id="{5CED2C13-41E7-4740-9379-7DEBA88814A7}">
    <text>"To establish primary study overlap across meta-analyses, for each primary study, i, included in any meta-analysis a master's student determined the number of meta-analyses in which it was included.”</text>
  </threadedComment>
  <threadedComment ref="BL34" dT="2024-11-20T22:14:20.44" personId="{63BE2683-CD05-475F-A892-6A6250E8BECC}" id="{EB6283CF-673C-48F4-8CFC-32796FC17F0C}">
    <text xml:space="preserve">"The inverse of this number was regarded as the uniqueness, ⁅U ⁆⁅i⁆⁅ ⁆Ui​, of this study. Consequently, the theoretical range of ⁅U ⁆⁅i⁆⁅ ⁆Ui​ is 1/n1/n to 1, where nn is the number of meta-analyses included." </text>
  </threadedComment>
  <threadedComment ref="BS34" dT="2024-11-20T22:23:00.83" personId="{63BE2683-CD05-475F-A892-6A6250E8BECC}" id="{11669B7E-8491-4683-8DB2-F1B16EBADA41}">
    <text xml:space="preserve">“We used a random-effects meta-analytic procedure (Hedges &amp; Olkin, 1985) to synthesize Zs from individual meta-analyses." </text>
  </threadedComment>
  <threadedComment ref="CD34" dT="2024-11-20T22:27:08.45" personId="{63BE2683-CD05-475F-A892-6A6250E8BECC}" id="{46AA735E-CC05-4731-B1E0-C2325DBCC656}">
    <text xml:space="preserve">"Each meta-analysis contributed one effect size to the meta-meta-analysis. Multiple estimates of the RA-outcome association from one meta-analysis were aggregated into a single effect size whenever those effects were not based on an independent set of studies (e.g., when different RA measures were used in one meta-analysis). A weighted average was calculated using kk contributing to each estimate as weight."
"For moderator analyses, different estimates from the same meta-analysis were not aggregated if estimates represented different levels of the moderator variable (e.g., separate estimates for comparative studies and controlled studies)."
</text>
  </threadedComment>
  <threadedComment ref="DA34" dT="2024-11-20T21:43:02.69" personId="{63BE2683-CD05-475F-A892-6A6250E8BECC}" id="{13362BB1-D580-4F9E-BC60-5561B7611FE1}">
    <text>Figure 1</text>
  </threadedComment>
  <threadedComment ref="DE34" dT="2024-11-20T21:45:07.84" personId="{63BE2683-CD05-475F-A892-6A6250E8BECC}" id="{68941E89-457F-4BB3-B061-1FE2A16AF171}">
    <text>Table 1</text>
  </threadedComment>
  <threadedComment ref="DJ34" dT="2024-11-20T21:29:21.34" personId="{63BE2683-CD05-475F-A892-6A6250E8BECC}" id="{0E4E9CE8-53EA-4060-8C34-80A3F0C877A6}">
    <text>discussion</text>
  </threadedComment>
  <threadedComment ref="DM34" dT="2024-11-20T21:32:45.93" personId="{63BE2683-CD05-475F-A892-6A6250E8BECC}" id="{9807348E-E557-4AC7-94B1-ACA0BBF7DD78}">
    <text xml:space="preserve">"The diversity of the meta-analyses included points to the generality of the RA-outcome association in different fields of psychotherapy outcome research." </text>
  </threadedComment>
  <threadedComment ref="DO34" dT="2024-11-20T21:42:16.93" personId="{63BE2683-CD05-475F-A892-6A6250E8BECC}" id="{2F95631E-F828-4FAC-BCED-E44A2CE34FDC}">
    <text xml:space="preserve">"It is further possible that researchers calculate the RA-outcome association without reporting the respective results in the research report, e.g., in the case of insignificant findings. This would bias our findings if the unpublished findings were substantially different from those included in our meta-analysis. We therefore calculated a fail-safe nn to determine the number of unpublished meta-analyses with a null finding that would bring the pooled estimate close to zero." </text>
  </threadedComment>
  <threadedComment ref="DU34" dT="2024-11-22T11:20:08.24" personId="{4DA524E8-3868-F444-A020-D0F395DBFD3A}" id="{DE147560-DA03-E946-99BF-F748C17741A8}">
    <text>Table 1</text>
  </threadedComment>
  <threadedComment ref="BI35" dT="2024-10-23T16:42:56.27" personId="{63BE2683-CD05-475F-A892-6A6250E8BECC}" id="{7245C7A4-672C-4CC0-B818-2E0DA58D78B9}">
    <text>“We independently extracted all data items in duplicate and resolved disagreements via discussion. “</text>
  </threadedComment>
  <threadedComment ref="DH35" dT="2024-10-23T17:40:27.74" personId="{63BE2683-CD05-475F-A892-6A6250E8BECC}" id="{68750918-0E32-47E4-ADE7-B0A03273DB12}">
    <text>Table 2</text>
  </threadedComment>
  <threadedComment ref="DU35" dT="2024-10-23T17:58:41.99" personId="{63BE2683-CD05-475F-A892-6A6250E8BECC}" id="{04D91D20-F97A-45F7-9D5C-5154BC493EBA}">
    <text>Supplementary data</text>
  </threadedComment>
  <threadedComment ref="AB36" dT="2024-12-01T14:04:53.14" personId="{63BE2683-CD05-475F-A892-6A6250E8BECC}" id="{ED8C87F9-9D1C-484C-A143-37F020155B6D}">
    <text>“The resulting sample consisted of 131 meta-analyses consisting of 2446 unique primary studies. For four primary studies, we were not able to calculate the effect size, so these were excluded from our analyses. Our final sample consisted of 2442 primary studies, with over 20 million participants in total.”</text>
  </threadedComment>
  <threadedComment ref="AG36" dT="2024-12-01T14:10:04.08" personId="{63BE2683-CD05-475F-A892-6A6250E8BECC}" id="{DE2F902E-7AAF-4902-96BE-8EDAE43C9134}">
    <text xml:space="preserve">They acknowledged that gray literature often reports smaller effects than peer-reviewed studies, which can be a potential indicator of publication bias:
"Unpublished literature such as Ph.D. theses or conference proceedings typically report smaller effects than research published in peer-reviewed journals, which could be a possible indicator for publication bias"​
</text>
  </threadedComment>
  <threadedComment ref="AN36" dT="2024-12-01T14:26:51.05" personId="{63BE2683-CD05-475F-A892-6A6250E8BECC}" id="{CFDC3255-C312-47DB-924A-014383F666D4}">
    <text>Excluded: 1) Articles that did not report quantitative meta-analyses: "We excluded a further 208 articles that did not report a quantitative meta-analysis". 2) Meta-analyses that used non-standard methods (e.g., multilevel models with individual-level data): "We excluded 32 meta-analyses that used non-standard meta-analytic methods (e.g., multilevel models based on individual-level data or unweighted analyses) for which we could not calculate primary effect sizes that were suitable for this meta-meta-analysis". 3) Meta-analyses with fewer than three unique primary studies: "We excluded nine meta-analyses that contained fewer than three unique primary studies, because it was not possible to estimate patterns of bias based on only two observations"​</text>
  </threadedComment>
  <threadedComment ref="AO36" dT="2024-12-01T14:25:00.12" personId="{63BE2683-CD05-475F-A892-6A6250E8BECC}" id="{251632AA-46ED-463D-9DDF-3637DD7B5331}">
    <text xml:space="preserve">"Correlational studies and studies about group differences... In experimental research, the methodology increases in complexity because participants have to be randomly assigned... Toxicological studies are mainly quasi-experimental"​ </text>
  </threadedComment>
  <threadedComment ref="AW36" dT="2024-12-01T14:23:35.17" personId="{63BE2683-CD05-475F-A892-6A6250E8BECC}" id="{701816C0-B70A-4A8D-9D51-43740C7E4CF0}">
    <text xml:space="preserve">"For most of the meta-analyses, the effect size we extracted or calculated based on available data was either a Cohen’s d... or a correlation (r)"​ </text>
  </threadedComment>
  <threadedComment ref="BJ36" dT="2024-12-01T14:33:13.42" personId="{63BE2683-CD05-475F-A892-6A6250E8BECC}" id="{67FDF774-9F2D-43BE-B3B9-AC90380CC234}">
    <text xml:space="preserve">"For each meta-analysis, we coded several variables. First, we coded whether primary studies were unique in our sample, to avoid dependencies between meta-analyses. If a study appeared in more than one meta-analysis, we removed it from the meta-analysis with the most primary studies"​ </text>
  </threadedComment>
  <threadedComment ref="BS36" dT="2024-12-06T10:33:40.87" personId="{4DA524E8-3868-F444-A020-D0F395DBFD3A}" id="{233A199A-3E9B-7A41-9488-D94A27C30F68}">
    <text>Caution: it remains somewhat unclear, how the authors removed the 8 overlapping primary studies, because they are conducting a regular SOMA and not a MA of primary studies.</text>
  </threadedComment>
  <threadedComment ref="BT36" dT="2024-12-01T14:54:07.79" personId="{63BE2683-CD05-475F-A892-6A6250E8BECC}" id="{70957B55-5EF1-4CBC-82C7-F93000DBA7C0}">
    <text>"We assumed random effects models at both levels, because it was highly unlikely that the same population effect underlay (1) every study within the meta-analyses, and (2) every meta-analysis’ small-study effect in the meta-meta regression"​ 
"At this meta-meta-level, we again used the Paule–Mandel estimator for random effects"</text>
  </threadedComment>
  <threadedComment ref="CC36" dT="2024-12-01T14:56:51.44" personId="{63BE2683-CD05-475F-A892-6A6250E8BECC}" id="{01105F19-92DF-4A6D-9BE7-F5BAC49441EC}">
    <text xml:space="preserve">"Per primary study, we only included one effect size where we prioritized effects based on FSIQ, VIQ, or PIQ, or other cognitive tests, in that order" </text>
  </threadedComment>
  <threadedComment ref="CF36" dT="2024-12-01T15:03:46.46" personId="{63BE2683-CD05-475F-A892-6A6250E8BECC}" id="{D8862331-86FB-4D5E-84EB-54CFD8E5FE42}">
    <text xml:space="preserve">Small-Study Effect: "We investigated whether different bias-related patterns were present in intelligence research, starting with the small-study effect. Smaller studies generally contain more sampling error, which means that the effect size estimates can vary widely. If the extreme estimates are more likely to be published, this may lead to an inflated average effect size in the literature" 
Decline Effect: "We investigated the decline effect, US effect, and citation bias using the same general two-step meta-regressions we used to estimate the small-study effect" 
Citation Bias: We investigated the presence of several other bias-related patterns beside the small-study effect, following recent meta-science efforts in other fields (e.g., Fanelli et al. 2017): the decline effect, the US effect, and citation bias. </text>
  </threadedComment>
  <threadedComment ref="CM36" dT="2024-12-01T14:51:09.30" personId="{63BE2683-CD05-475F-A892-6A6250E8BECC}" id="{D164B907-B678-4C0D-BA4B-AA3EBAE6D7B4}">
    <text xml:space="preserve">"To combine this information across meta-analyses, we then ran another meta-analysis to obtain a weighted average of all obtained regression coefficients... At this meta-meta-level, we again used the Paule–Mandel estimator for random effects"​ 
"I² = 47.3%, var (representing variation in small-study effects across meta-analyses) = 0.73 (SE = 0.25)"​ </text>
  </threadedComment>
  <threadedComment ref="CR36" dT="2024-12-01T14:46:18.44" personId="{63BE2683-CD05-475F-A892-6A6250E8BECC}" id="{D775C436-EF81-4B0B-A580-F82F72BAE43B}">
    <text xml:space="preserve">The authors conducted moderator analyses to examine differences in effect sizes, power, and bias across different types of studies in intelligence research. 
"Finally, we categorized the meta-analyses in five different types of research: correlational, group differences, experiments and interventions, toxicology, and behavior genetics"​ 
"We chose these five categories to distinguish between substantively different types of research questions and their associated research designs, while retaining a sufficient number of meta-analyses in each type to make reliable inferences about effect sizes, power, and bias"​ 
"We used the same general two-step meta-regressions we used to estimate the small-study effect"​ </text>
  </threadedComment>
  <threadedComment ref="CS36" dT="2024-12-01T14:46:52.49" personId="{63BE2683-CD05-475F-A892-6A6250E8BECC}" id="{3F359347-346D-49C9-8F28-6BB7542C1DD0}">
    <text xml:space="preserve">"We used the same general two-step meta-regressions we used to estimate the small-study effect"​ </text>
  </threadedComment>
  <threadedComment ref="CW36" dT="2024-12-01T14:41:07.64" personId="{63BE2683-CD05-475F-A892-6A6250E8BECC}" id="{3DBE7FC0-CE6E-4311-9628-80A23600423E}">
    <text xml:space="preserve"> "We excluded eight primary studies that occurred in multiple meta-analyses of different types, but, after rerunning some of our descriptive analyses, we concluded that this is unlikely to have affected our conclusions"</text>
  </threadedComment>
  <threadedComment ref="CY36" dT="2024-12-01T14:39:36.29" personId="{63BE2683-CD05-475F-A892-6A6250E8BECC}" id="{DB513DD1-F1A9-44D5-BDBC-6D698E04DDF4}">
    <text xml:space="preserve">Power analyses were conducted to evaluate the ability to detect small, medium, and large effects:
"Overall, we found a median power of 11.9% to detect a small effect, 54.5% to detect a medium effect, and 93.9% to detect a large effect"​
</text>
  </threadedComment>
  <threadedComment ref="DA36" dT="2024-12-01T15:32:28.46" personId="{63BE2683-CD05-475F-A892-6A6250E8BECC}" id="{40E679D7-91B6-470F-9966-95A6AEEB59B1}">
    <text>Figure 1</text>
  </threadedComment>
  <threadedComment ref="DE36" dT="2024-12-06T15:05:25.24" personId="{4DA524E8-3868-F444-A020-D0F395DBFD3A}" id="{4FC7613C-4DA4-6F4C-9326-1D85F13B8FC8}">
    <text>Table 2</text>
  </threadedComment>
  <threadedComment ref="DF36" dT="2024-12-01T15:41:11.33" personId="{63BE2683-CD05-475F-A892-6A6250E8BECC}" id="{46A47325-DCC1-4C0A-AAF0-47EE36DCFE09}">
    <text>Table 4</text>
  </threadedComment>
  <threadedComment ref="DJ36" dT="2024-12-01T15:50:00.72" personId="{63BE2683-CD05-475F-A892-6A6250E8BECC}" id="{57A78BBE-B1C5-418E-8C39-3EDC34A70851}">
    <text xml:space="preserve">"We found evidence for an overall small-study effect, which can reflect publication bias. Smaller studies generally contain more sampling error, which means that their effect size estimates can vary widely. If extreme estimates are more likely to be published, this may lead to an inflated average effect size in the literature."​ </text>
  </threadedComment>
  <threadedComment ref="DK36" dT="2024-12-01T15:47:12.77" personId="{63BE2683-CD05-475F-A892-6A6250E8BECC}" id="{38A77CEB-4722-4B5D-90C2-04060759354E}">
    <text>“A final recommendation is to increase transparency by sharing materials, data, and analysis scripts to facilitate replication and reanalysis”</text>
  </threadedComment>
  <threadedComment ref="DT36" dT="2024-12-01T15:54:12.67" personId="{63BE2683-CD05-475F-A892-6A6250E8BECC}" id="{321D1882-C4C8-4DAD-942B-11A19C6CDE06}">
    <text>"All the data, analysis scripts, and an online Appendix with supplemental analyses and results can be found on this paper’s project page on the Open Science Framework at https://osf.io/z8emy/"&amp;#8203;:contentReference[oaicite:8]{index=8}.”</text>
    <extLst>
      <x:ext xmlns:xltc2="http://schemas.microsoft.com/office/spreadsheetml/2020/threadedcomments2" uri="{F7C98A9C-CBB3-438F-8F68-D28B6AF4A901}">
        <xltc2:checksum>2993442201</xltc2:checksum>
        <xltc2:hyperlink startIndex="170" length="66" url="https://osf.io/z8emy/&quot;&amp;#8203;:contentReference[oaicite:8]{index=8}"/>
      </x:ext>
    </extLst>
  </threadedComment>
  <threadedComment ref="AA38" dT="2025-01-10T12:20:07.54" personId="{63BE2683-CD05-475F-A892-6A6250E8BECC}" id="{8D132142-0BD4-465F-9A06-793AF69DB190}">
    <text>”The electronic searches conducted for Study 1 above did not yield any matrices that had not been already curated. Overall, there were 43 metaanalytic FFM intercorrelation matrices from 15 studies ”</text>
  </threadedComment>
  <threadedComment ref="AB38" dT="2025-01-10T12:10:33.98" personId="{63BE2683-CD05-475F-A892-6A6250E8BECC}" id="{FC41F7AD-3A48-45C7-8000-191F035AFBD3}">
    <text>Table 6 presents the number of primary studies and participants; however, calculating the total across all 44 studies proved challenging.</text>
  </threadedComment>
  <threadedComment ref="AD38" dT="2024-12-01T10:01:37.37" personId="{63BE2683-CD05-475F-A892-6A6250E8BECC}" id="{58816E53-F9C4-4157-A3CC-1C9D2526C173}">
    <text xml:space="preserve">Not very clear, this was just the sample example used to do the coding:
"Sample type (general adult, university student, employee, adolescent/children, special populations [e.g., clinical], and mixed)"​  
“The Ones (1993) and Mount et al. (2005) matrices included a mix of employee and general adult samples. van der Linden et al. (2010) reported subgroup matrices for general adults, employees, university students, adolescents and children, and special (clinical) samples. Other meta-analytic FFM matrices have varied in the types of samples included in their analyses (see Table 5).”
</text>
  </threadedComment>
  <threadedComment ref="AE38" dT="2024-12-01T10:12:48.09" personId="{63BE2683-CD05-475F-A892-6A6250E8BECC}" id="{D2D637AE-CFE3-4650-AC72-6BF65159BCF4}">
    <text>This might indirectly support that they do, however its not clear:
”International Samples Although the FFM personality dimensions are found in or recovered from inventories in a variety of languages and with various cultural and national samples (McCrae &amp; Allik, 2002), specific narrow personality constructs associated with each of the FFM traits can shift their location in the personality hierarchy. Personality traits do not have simple structure, and the pattern of dominant loadings and cross-loadings of lower-order traits on the Big Five-level traits can vary somewhat across cultures. For example, positive valence and intellect tend to load together in Chinese language and samples (Zhou, Saucier, Gao, &amp; Liu, 2009), and the compassion aspect of Agreeableness loads onto Conscientiousness in Turkish data (Gülgöz, 2002). The sociability and excitement-seeking facets of Extraversion have substantial loadings on Neuroticism in Baltic-Finnish inventories (Pulver, Allik, Pulkkinen, &amp; Hämäläinen, 1995). In some languages and cultures, a clear Openness factor of the FFM does not replicate (e.g., Cheung, van de Vijver, &amp; Leong, 2011; Hofstee, Kiers, De Raad, Goldberg, &amp; Ostendorf, 1997; Zeinoun, Daouk-Öyry, Choueiri, &amp; van de Vijver, 2018), ...”</text>
  </threadedComment>
  <threadedComment ref="AG38" dT="2024-12-01T10:10:36.57" personId="{63BE2683-CD05-475F-A892-6A6250E8BECC}" id="{A11359E4-491E-422E-B99B-0B317B7C3E9D}">
    <text>Table 5 in description column</text>
  </threadedComment>
  <threadedComment ref="AH38" dT="2024-12-01T10:10:57.09" personId="{63BE2683-CD05-475F-A892-6A6250E8BECC}" id="{63EB856D-313E-431C-9E7D-E80DC4920E46}">
    <text xml:space="preserve">"We sought to identify all meta-analytic matrices of FFM intercorrelations to provide a robust basis"​ </text>
  </threadedComment>
  <threadedComment ref="AO38" dT="2024-12-01T10:49:47.86" personId="{63BE2683-CD05-475F-A892-6A6250E8BECC}" id="{036A5C2C-C2AC-425D-869F-A9A8A7F69BAE}">
    <text xml:space="preserve">The paper describes aggregating intercorrelations, which are typical of cross-sectional designs but does not explicitly name the designs in study 3. 
Study 3 did not focus on primary study designs but instead aggregated meta-analytic FFM matrices derived from a variety of previous studies. These matrices typically originate from research that uses cross-sectional designs, as personality intercorrelations are generally calculated from surveys or assessments administered at a single point in time. 
"The primary purpose of Study 3 is to investigate which factors explain the differences in mean FFM trait intercorrelations across meta-analyses." </text>
  </threadedComment>
  <threadedComment ref="AW38" dT="2024-12-01T10:44:39.86" personId="{63BE2683-CD05-475F-A892-6A6250E8BECC}" id="{BB0DF3DA-6EE9-4741-8A7F-0414E83AC9B0}">
    <text xml:space="preserve">"Correlations for most individual inventories were reported by only 1–2 meta-analyses, with the exception of the NEO." </text>
  </threadedComment>
  <threadedComment ref="BF38" dT="2024-12-01T10:28:59.24" personId="{63BE2683-CD05-475F-A892-6A6250E8BECC}" id="{F7FA751C-0857-4663-97CF-D93E6FC623DB}">
    <text>Coded moderator variables:
”Brenton M. Wiernik and Deniz S. Ones reviewed the methods and samples included in each meta-analysis and coded them for the following moderator variables: rating source (self-rated, other-rated [including single other and interrater correlations]); within- versus between-inventory correlations (within, between, and mixed); personality framework (explicit FFM only, explicit, and classified FFM); specific inventories included (individual inventories, mixed);14 sample type (general adult, university student, employee, adolescent/children, special populations [e.g., clinical15], and mixed); inclusion of unpublished studies (yes, no); assessment purpose (research, personnel applications [selection, development, etc.], and mixed); and inclusion of United States/North American samples only (yes, no). We also recorded the publication date for each meta-analysis and the decades in which included samples were collected (intercoder agreement was 100%).”</text>
  </threadedComment>
  <threadedComment ref="BJ38" dT="2024-12-01T10:51:58.60" personId="{63BE2683-CD05-475F-A892-6A6250E8BECC}" id="{F88DF14B-4B25-422C-B004-81E4B317A6BF}">
    <text xml:space="preserve">"Unfortunately, insufficient information was provided in the included first-order meta-analyses to permit such fine-grained analyses without identifying and recoding potentially thousands of individual primary studies." </text>
  </threadedComment>
  <threadedComment ref="BT38" dT="2024-12-01T11:25:44.87" personId="{63BE2683-CD05-475F-A892-6A6250E8BECC}" id="{01C457A1-06E3-4A50-B2AB-00CECBAA0126}">
    <text xml:space="preserve">"We examined the impacts of the above moderator variables on FFM intercorrelations using second-order meta-analysis and second-order meta-regression"​ </text>
  </threadedComment>
  <threadedComment ref="CB38" dT="2024-12-01T11:27:07.86" personId="{63BE2683-CD05-475F-A892-6A6250E8BECC}" id="{F891873A-E240-4812-B22D-0C2FF98B361E}">
    <text xml:space="preserve">In study 2 they say "We corrected correlations individually for measurement error in both variables using local reliability.”
It is not mentioned for study 3.
However, they noted some necessary assumptions and limitations that might have indirectly impacted the analyses. 
"The resulting necessary polytomization of moderator levels is likely to have somewhat attenuated potential moderator effects"​ </text>
  </threadedComment>
  <threadedComment ref="CE38" dT="2024-11-24T19:30:31.57" personId="{63BE2683-CD05-475F-A892-6A6250E8BECC}" id="{1EC1B77E-DC7F-4877-B7EA-5E4AB18CD595}">
    <text>It is shortly mentioned “This raises potential questions about publication bias (John et al., 2012). Generally, publication bias is expected to have the effect of inflating effect sizes. However, this is not likely to be a major issue for this study. “</text>
  </threadedComment>
  <threadedComment ref="CS38" dT="2024-11-24T19:27:57.31" personId="{63BE2683-CD05-475F-A892-6A6250E8BECC}" id="{A5E4EF93-E483-4EF3-86B2-EE2AACE59DC4}">
    <text xml:space="preserve">"We systematically examine the sources of differences in FFM intercorrelations using second-order meta-analysis and meta-regression." 
"We fit second-order meta-regressions to estimate the proportion of observed nonartifactual variability in mean FFM correlations accounted for by each moderator." </text>
  </threadedComment>
  <threadedComment ref="CZ38" dT="2025-01-10T13:15:48.73" personId="{63BE2683-CD05-475F-A892-6A6250E8BECC}" id="{C77C7579-842D-434A-91AF-D874A44B1729}">
    <text>“Second-order meta-analyses were conducted using the psychmeta package (Version 2.3.4; Dahlke &amp; Wiernik, 2018) in R (Version 3.5.3; R Core Team, 2019) “</text>
  </threadedComment>
  <threadedComment ref="DC38" dT="2024-11-24T19:24:00.24" personId="{63BE2683-CD05-475F-A892-6A6250E8BECC}" id="{06FD0C1C-A499-493D-B192-F8314F829E66}">
    <text xml:space="preserve">"Forest plots for meta-analytic mean correlations for each pair of FFM traits are shown in Figures 2–11" </text>
  </threadedComment>
  <threadedComment ref="DE38" dT="2024-12-01T11:44:15.33" personId="{63BE2683-CD05-475F-A892-6A6250E8BECC}" id="{F4163209-3311-41B6-8236-A46C4D92E0D2}">
    <text>Table 5</text>
  </threadedComment>
  <threadedComment ref="DF38" dT="2024-12-01T11:45:19.52" personId="{63BE2683-CD05-475F-A892-6A6250E8BECC}" id="{885ED27D-BCB2-4EE9-93B9-C9CBEE00BA0B}">
    <text>Table 6-7</text>
  </threadedComment>
  <threadedComment ref="DG38" dT="2024-11-24T19:56:16.49" personId="{63BE2683-CD05-475F-A892-6A6250E8BECC}" id="{F880C2B3-A28F-48E6-BDAB-6F70B1DC2E2E}">
    <text>Table 7</text>
  </threadedComment>
  <threadedComment ref="DI38" dT="2024-11-24T19:53:09.19" personId="{63BE2683-CD05-475F-A892-6A6250E8BECC}" id="{2895352E-8F69-4A6B-88E0-D8E031C55FB9}">
    <text xml:space="preserve">"Figures depicting moderator effects are available in the online supplemental materials"​ </text>
  </threadedComment>
  <threadedComment ref="DJ38" dT="2024-12-01T11:48:19.69" personId="{63BE2683-CD05-475F-A892-6A6250E8BECC}" id="{8D54F11D-62E5-4BB8-95AF-864AF490DFB3}">
    <text>Mentioned in the limitation “Further, as discussed in the Publication Status section of Study 3, any potential impacts of publication bias on FFM intercorrelations would be complex and might include both inflating and attenuating effects.“</text>
  </threadedComment>
  <threadedComment ref="DK38" dT="2024-11-24T19:39:56.80" personId="{63BE2683-CD05-475F-A892-6A6250E8BECC}" id="{A63A2EBD-E750-425B-B7D8-9B4CBE3FD7E0}">
    <text xml:space="preserve">"We strongly advocate for increased transparency in reporting for meta-analyses and adherence to the APA Meta-Analytic Reporting Standards (Appelbaum et al., 2018). Meta-analyses must provide the full meta-analytic database in an open (nonproprietary), machine-readable format." </text>
  </threadedComment>
  <threadedComment ref="DS38" dT="2025-01-10T13:41:37.76" personId="{63BE2683-CD05-475F-A892-6A6250E8BECC}" id="{6E838881-C810-48DC-98A6-DC95ACB81840}">
    <text>Supplementary 2</text>
  </threadedComment>
  <threadedComment ref="DT38" dT="2025-01-10T13:39:09.55" personId="{63BE2683-CD05-475F-A892-6A6250E8BECC}" id="{7495FD38-6CDD-463A-9B1C-4E119C4484A9}">
    <text>Supplementary 5</text>
  </threadedComment>
  <threadedComment ref="DU38" dT="2024-11-24T19:35:47.22" personId="{63BE2683-CD05-475F-A892-6A6250E8BECC}" id="{921E1148-B288-4DF5-B7D6-5481346B4960}">
    <text>Supplementary 4</text>
  </threadedComment>
  <threadedComment ref="AC39" dT="2025-01-15T17:51:00.79" personId="{63BE2683-CD05-475F-A892-6A6250E8BECC}" id="{831FE9DE-BE82-4AD1-94B4-EB926D7953C8}">
    <text xml:space="preserve">Counted primary studies in supplementary ”data sheet 3” </text>
  </threadedComment>
  <threadedComment ref="AO39" dT="2025-01-15T18:06:49.11" personId="{63BE2683-CD05-475F-A892-6A6250E8BECC}" id="{DE1C0BE4-9DF0-4195-B6D1-587E4E74B29D}">
    <text xml:space="preserve">Not specified, however, Cross-sectional and longitudinal seem to be typical designs in intelligence research. </text>
  </threadedComment>
  <threadedComment ref="BF39" dT="2025-01-15T18:02:43.65" personId="{63BE2683-CD05-475F-A892-6A6250E8BECC}" id="{032BDCF1-0127-4FE2-BDC3-A8A5CD7E1B95}">
    <text xml:space="preserve">The coding was done twice, but by the same rater:
"Full texts of all search hits were obtained and coded twice into categories by the same experienced researcher (JP)" 
However, this might be considered:
"Discrepancies between the first and second coding run were resolved through discussion with another independent researcher (MS)"​ </text>
  </threadedComment>
  <threadedComment ref="CD39" dT="2025-01-15T18:28:39.25" personId="{63BE2683-CD05-475F-A892-6A6250E8BECC}" id="{A3F0EA65-2161-4C1C-91B5-02CEB29BE2E2}">
    <text xml:space="preserve">"We calculated single precision-weighted (i.e., according to the inverse variances of primary studies) mixed-effects meta-regressions... </text>
  </threadedComment>
  <threadedComment ref="CE39" dT="2025-01-15T18:24:24.30" personId="{63BE2683-CD05-475F-A892-6A6250E8BECC}" id="{E994B3DB-0A94-4FB1-A92E-33F18E4256BD}">
    <text xml:space="preserve">"We applied eight different methods to assess indications of potential dissemination bias within the individual meta-analyses"​ </text>
  </threadedComment>
  <threadedComment ref="CF39" dT="2025-01-15T18:25:58.46" personId="{63BE2683-CD05-475F-A892-6A6250E8BECC}" id="{49509B2E-EDB4-4F43-B414-74A56A3B4355}">
    <text>”Consequently, we used the trim-and-fill method (Duval and Tweedie, 2000), Begg and Mazumdar’s rank correlation test (Begg and Mazumdar, 1994), Sterne and Egger’s regression approach (Sterne and Egger, 2005), excess significance testing (Ioannidis and Trikalinos, 2007), p-uniform (Simonsohn et al., 2014), p-curve (van Assen et al., 2015), a selection model approach (Vevea and Woods, 2005), and PET-PEESE (Stanley and Doucouliagos, 2014). ”</text>
  </threadedComment>
  <threadedComment ref="CL39" dT="2025-01-15T18:19:14.32" personId="{63BE2683-CD05-475F-A892-6A6250E8BECC}" id="{82D6D5C8-5ED3-4C64-994B-FCE3FCB2F705}">
    <text xml:space="preserve">”Neither I² values nor maximum differences between I² estimates..." </text>
  </threadedComment>
  <threadedComment ref="CS39" dT="2025-01-15T18:16:57.30" personId="{63BE2683-CD05-475F-A892-6A6250E8BECC}" id="{F0CA9E9C-B024-4B2D-9E37-D24C62E7252C}">
    <text xml:space="preserve">The moderators included initial study sample size, effect size strength, citation numbers, impact factor of the journal, and publication year. 
"In a series of single precision-weighted mixed-effects and fixed-effect meta-regressions... we investigated influences of (i) initial study sample sizes, effect sizes... on both effect misestimations in general and effect declines in particular"​ </text>
  </threadedComment>
  <threadedComment ref="CW39" dT="2025-01-15T18:15:25.29" personId="{63BE2683-CD05-475F-A892-6A6250E8BECC}" id="{0CB7B7FA-9FB3-499A-A4A3-C1C5FDE1ED23}">
    <text xml:space="preserve">"Sensitivity analyses showed that bias indications... were not driven by outlier-related between-studies heterogeneity..."​ </text>
  </threadedComment>
  <threadedComment ref="CY39" dT="2025-01-15T18:14:43.64" personId="{63BE2683-CD05-475F-A892-6A6250E8BECC}" id="{8C504FC6-8EA4-43BB-8C37-ACFF5D278A4F}">
    <text xml:space="preserve">"Results of our power analyses showed that the average primary study had 50.24% power..."​ </text>
  </threadedComment>
  <threadedComment ref="DA39" dT="2025-01-15T18:30:28.09" personId="{63BE2683-CD05-475F-A892-6A6250E8BECC}" id="{26EF6197-5778-4B15-A2C1-1187248C8B91}">
    <text>”A flowchart of study inclusion and study references including reasons for exclusion can be found in the Supplementary Figure S1 and Supplementary Data Sheet S2. ”</text>
  </threadedComment>
  <threadedComment ref="DD39" dT="2025-01-15T18:34:09.54" personId="{63BE2683-CD05-475F-A892-6A6250E8BECC}" id="{2222D949-A882-40A6-A1CE-2EFD94FF1C58}">
    <text>Figure 2.  lightning plot showing cumulative effect changes over time. 
Figure 1 and 3. histogram plot (illustrating the average power of primary studies across meta-analyses. )</text>
  </threadedComment>
  <threadedComment ref="DF39" dT="2025-01-15T18:37:07.99" personId="{63BE2683-CD05-475F-A892-6A6250E8BECC}" id="{F3D47168-A647-454A-9736-0C8EB2154992}">
    <text>Table 1 and Table 2</text>
  </threadedComment>
  <threadedComment ref="DG39" dT="2025-01-15T18:40:56.49" personId="{63BE2683-CD05-475F-A892-6A6250E8BECC}" id="{FF3B990E-74FE-456C-B4D4-42519DB74C15}">
    <text>Table 2</text>
  </threadedComment>
  <threadedComment ref="DJ39" dT="2025-01-15T18:42:57.27" personId="{63BE2683-CD05-475F-A892-6A6250E8BECC}" id="{D86542C4-C72B-4748-82BB-96DA0C42F032}">
    <text>In ”Limitations” part of the paper</text>
  </threadedComment>
  <threadedComment ref="DK39" dT="2025-01-15T18:44:17.28" personId="{63BE2683-CD05-475F-A892-6A6250E8BECC}" id="{718ED8C1-E84B-459B-A926-2923C459FF46}">
    <text>In introduction ”Increasing transparency in scientific processes such as data sharing, (exploratory) study preregistration, but also self- (or independent) replication preceding the publication of exploratory findings may be suitable approaches to strengthen the credibility of empirical research in general and psychological science in particular.”</text>
  </threadedComment>
  <threadedComment ref="DS39" dT="2025-01-15T18:48:48.00" personId="{63BE2683-CD05-475F-A892-6A6250E8BECC}" id="{E25B3C7A-EBB9-4EA0-81F4-829DCE891FA5}">
    <text>Supplementary Datasheet 3 and 4</text>
  </threadedComment>
  <threadedComment ref="DT39" dT="2025-01-15T18:46:59.00" personId="{63BE2683-CD05-475F-A892-6A6250E8BECC}" id="{6097487E-C3AA-43E2-A423-09C6685843C7}">
    <text>Supplementary data sheet S4</text>
  </threadedComment>
  <threadedComment ref="DU39" dT="2025-01-15T18:47:35.34" personId="{63BE2683-CD05-475F-A892-6A6250E8BECC}" id="{8ACA5746-47C5-4160-87B9-F13AA7CE2114}">
    <text>Supplementary Data sheet 2 and 3</text>
  </threadedComment>
  <threadedComment ref="BI40" dT="2025-02-21T12:41:57.82" personId="{63BE2683-CD05-475F-A892-6A6250E8BECC}" id="{7EA81C2A-0D08-48E7-A6C4-C440178B4357}">
    <text>Double coding for quality</text>
  </threadedComment>
  <threadedComment ref="G41" dT="2025-02-12T21:12:13.54" personId="{63BE2683-CD05-475F-A892-6A6250E8BECC}" id="{8D3BC122-13CD-4804-A842-A62C520A3609}">
    <text>Might be considered psychology.</text>
  </threadedComment>
  <threadedComment ref="AC41" dT="2025-01-16T17:28:51.33" personId="{63BE2683-CD05-475F-A892-6A6250E8BECC}" id="{78DDE74A-6F08-4AE8-8B4E-DE22841A9285}">
    <text>”The total number of effect sizes (k) across the 28 metaanalyses was 404 and the total number of participants (N) was 31,492 ”</text>
  </threadedComment>
  <threadedComment ref="AW41" dT="2025-01-16T17:36:33.22" personId="{63BE2683-CD05-475F-A892-6A6250E8BECC}" id="{0132687E-0684-41AA-AFBC-DC8895E9CF83}">
    <text xml:space="preserve">"Most meta-analyses reported effect sizes in the form of a standardized mean difference, Cohen’s d or Hedges’ g, but 1 reported odds ratios. To facilitate data aggregation, odds ratios were converted to Cohen’s d"​ </text>
  </threadedComment>
  <threadedComment ref="BF41" dT="2025-01-16T17:37:02.81" personId="{63BE2683-CD05-475F-A892-6A6250E8BECC}" id="{A41E7F9A-E949-463D-97D6-1720A8000450}">
    <text xml:space="preserve">"Coding of each meta-analysis was done by 2 raters (i.e., the first and third authors)"​ </text>
  </threadedComment>
  <threadedComment ref="BG41" dT="2025-01-16T17:37:56.87" personId="{63BE2683-CD05-475F-A892-6A6250E8BECC}" id="{FBB9519B-5308-4DA3-9A48-7B6B89E207BD}">
    <text xml:space="preserve">"Disagreements between raters were resolved through discussion (all κ &gt; 0.86) </text>
  </threadedComment>
  <threadedComment ref="BJ41" dT="2025-01-16T17:39:18.96" personId="{63BE2683-CD05-475F-A892-6A6250E8BECC}" id="{1CA7897B-B82A-43C3-A930-850F77A4A9EA}">
    <text xml:space="preserve">"To promote independence of observation, articles were evaluated to identify meta-analyses that were reliant upon the same or similar samples"​ </text>
  </threadedComment>
  <threadedComment ref="BN41" dT="2025-01-16T17:40:20.65" personId="{63BE2683-CD05-475F-A892-6A6250E8BECC}" id="{532B42F8-CF1E-4676-98F9-045ED62558DE}">
    <text xml:space="preserve">"The methodological quality of included meta-analyses was coded using 5 criteria outlined in previous work" </text>
  </threadedComment>
  <threadedComment ref="BO41" dT="2025-01-16T17:46:34.76" personId="{63BE2683-CD05-475F-A892-6A6250E8BECC}" id="{AC5CC9BD-84F6-41E2-8BB9-8946A31F7E8B}">
    <text>”Additionally, the methodological quality of included metaanalyses was coded using 5 criteria outlined in previous work: (1) the eligibility criteria for the studies included in the metaanalysis was clearly stated, (2) the search for studies included in the meta-analysis used at least 3 sources, including 1 electronic source, (3) coding of studies was done by at least two independent raters, (4) a strategy was used to assess statistical heterogeneity, and (5) the primary synthesis method was clearly stated (see Higgins et al. 2013). ”</text>
  </threadedComment>
  <threadedComment ref="BQ41" dT="2025-01-16T17:47:16.20" personId="{63BE2683-CD05-475F-A892-6A6250E8BECC}" id="{661A79E1-7AFB-4DC8-95C0-B9C0FBC0066A}">
    <text>"These 5 criteria were coded dichotomously (1 = criteria met, 0 = criteria not met) and summed to create an index of methodological quality (M = 4.64, SD = 0.56, range = [3, 5])"​</text>
  </threadedComment>
  <threadedComment ref="BT41" dT="2025-01-16T17:49:44.34" personId="{63BE2683-CD05-475F-A892-6A6250E8BECC}" id="{65C37A8A-8296-4AF4-BA39-1B0B91AA6511}">
    <text xml:space="preserve"> "Past research found that unweighted averages in meta-analysis tend to perform as well or better in predicting population effects than averages that weight by study sample size or other criteria"</text>
  </threadedComment>
  <threadedComment ref="CC41" dT="2025-01-16T17:50:23.04" personId="{63BE2683-CD05-475F-A892-6A6250E8BECC}" id="{B270E466-FD09-4DF7-821F-A802791C01E0}">
    <text xml:space="preserve">"When meta-analyses reported effect sizes indexing the effect of meditation on multiple health outcomes, these effects were averaged before entering them into the final model"​ </text>
  </threadedComment>
  <threadedComment ref="CD41" dT="2025-01-16T17:50:51.62" personId="{63BE2683-CD05-475F-A892-6A6250E8BECC}" id="{FA4B68B2-6884-49AD-9179-3B21D8F01006}">
    <text>By averaging effect sizes for multiple health outcomes within each meta-analysis before including them in the final analysis</text>
  </threadedComment>
  <threadedComment ref="CE41" dT="2025-02-06T21:46:24.75" personId="{4DA524E8-3868-F444-A020-D0F395DBFD3A}" id="{9B74A6BA-B2FC-D846-9E50-DAE490679A58}">
    <text>The authors bias analyzed publication bias by examining whether included meta-analyses had conducted publication bias tests.
"Publication bias was assessed in 11 of the included meta-analyses, of which 6 reported Egger’s test for funnel plot asymmetry and 5 analyzed the symmetry of funnel plots without mentioning Egger’s test"​</text>
  </threadedComment>
  <threadedComment ref="CL41" dT="2025-01-16T17:54:49.47" personId="{63BE2683-CD05-475F-A892-6A6250E8BECC}" id="{F2EC8C9C-DE7B-40F6-9A90-3452E218C1A0}">
    <text xml:space="preserve">The authors did not perform their own heterogeneity analysis. Instead, they summarized heterogeneity findings reported in the included meta-analyses. 
"Of the 24 meta-analyses that reported heterogeneity tests, 21 (88%) indicated that significantly heterogeneous effects were obtained"​ </text>
  </threadedComment>
  <threadedComment ref="CR41" dT="2025-01-16T17:55:45.42" personId="{63BE2683-CD05-475F-A892-6A6250E8BECC}" id="{1E523D86-D5F3-4837-8873-33C1FFA9B3C2}">
    <text xml:space="preserve">"Moderation tests provide tentative evidence suggesting that the effect of meditation varies as a function of the type of meditation and health outcome under consideration"​ </text>
  </threadedComment>
  <threadedComment ref="CS41" dT="2025-01-16T17:56:15.61" personId="{63BE2683-CD05-475F-A892-6A6250E8BECC}" id="{699570D7-3C9F-4297-9AD8-F7674E587379}">
    <text xml:space="preserve">The authors divided the data into subgroups based on variables such as the type of meditation, health outcome category, and sample characteristics, and compared the effect sizes between these groups. </text>
  </threadedComment>
  <threadedComment ref="CW41" dT="2025-01-16T17:56:51.79" personId="{63BE2683-CD05-475F-A892-6A6250E8BECC}" id="{E6911794-2467-4CA2-A061-0C8B491F5601}">
    <text xml:space="preserve">Sensitivity analyses were conducted to test how excluding or including certain studies (e.g., low-quality studies) affected the results.
"The effect of meditation was slightly larger when low-quality studies were included (d = 0.33) versus excluded (d = 0.24)"
</text>
  </threadedComment>
  <threadedComment ref="DA41" dT="2025-01-16T17:57:38.73" personId="{63BE2683-CD05-475F-A892-6A6250E8BECC}" id="{21D8A352-CDC0-4F4D-A691-036751BBC4CF}">
    <text>Figure 1</text>
  </threadedComment>
  <threadedComment ref="DD41" dT="2025-01-16T17:59:44.58" personId="{63BE2683-CD05-475F-A892-6A6250E8BECC}" id="{B383A7EB-1815-4265-BF64-537C90F971C3}">
    <text>Figure 2</text>
  </threadedComment>
  <threadedComment ref="DE41" dT="2025-01-16T18:00:31.42" personId="{63BE2683-CD05-475F-A892-6A6250E8BECC}" id="{0DB80F92-3B2D-4E1D-8E04-528E207CB617}">
    <text xml:space="preserve">Supplemental Table 1
</text>
  </threadedComment>
  <threadedComment ref="DF41" dT="2025-01-16T18:08:17.68" personId="{63BE2683-CD05-475F-A892-6A6250E8BECC}" id="{91199450-274F-46A6-BFF1-C434D9FDE949}">
    <text xml:space="preserve">Supplemental Table 7 </text>
  </threadedComment>
  <threadedComment ref="DG41" dT="2025-01-16T18:08:32.63" personId="{63BE2683-CD05-475F-A892-6A6250E8BECC}" id="{1830516D-39D4-4A20-B8BA-A947B3DC792E}">
    <text xml:space="preserve">Supplemental Table 6 </text>
  </threadedComment>
  <threadedComment ref="DJ41" dT="2025-01-16T18:03:26.11" personId="{63BE2683-CD05-475F-A892-6A6250E8BECC}" id="{0ADABD2D-0DB1-4624-882B-7521AA3B5750}">
    <text>In ”Limitations …” section</text>
  </threadedComment>
  <threadedComment ref="AE42" dT="2025-01-23T20:31:33.66" personId="{63BE2683-CD05-475F-A892-6A6250E8BECC}" id="{67E05526-942C-4065-8DCC-63C3E1A647B6}">
    <text>”written in English (due to logistical constraints)”</text>
  </threadedComment>
  <threadedComment ref="AG42" dT="2025-01-23T20:32:46.30" personId="{63BE2683-CD05-475F-A892-6A6250E8BECC}" id="{D10401D2-496D-4EE6-ACF7-340C0D385C64}">
    <text xml:space="preserve">"Our meta-review prospectively excluded gray literature and reviews in other languages" </text>
  </threadedComment>
  <threadedComment ref="AI42" dT="2025-01-23T20:35:07.82" personId="{63BE2683-CD05-475F-A892-6A6250E8BECC}" id="{4828BCD4-B516-44A2-8F32-CBE1A444CFDF}">
    <text>Supplementary file 2 (page 4)</text>
  </threadedComment>
  <threadedComment ref="AJ42" dT="2025-01-23T20:36:43.65" personId="{63BE2683-CD05-475F-A892-6A6250E8BECC}" id="{8229931B-FDF2-4465-904D-63C8647BE1CC}">
    <text xml:space="preserve">"Titles and abstracts were screened in duplicate; full-text articles were screened in duplicate." </text>
  </threadedComment>
  <threadedComment ref="AO42" dT="2025-01-23T20:39:06.65" personId="{63BE2683-CD05-475F-A892-6A6250E8BECC}" id="{43546670-9BE2-4F10-B675-E7D76D18EB7E}">
    <text xml:space="preserve">"Many interventions were only tested in laboratories or in experiments with relatively trivial amounts of money (&lt; $10)." </text>
  </threadedComment>
  <threadedComment ref="AW42" dT="2025-01-23T20:42:15.54" personId="{63BE2683-CD05-475F-A892-6A6250E8BECC}" id="{803171D1-7A4E-443A-913C-94BB15F73847}">
    <text xml:space="preserve">"We extracted quantitative estimates from reviews that included meta-analyses and converted them to the most commonly used metric (r)." </text>
  </threadedComment>
  <threadedComment ref="BF42" dT="2025-01-23T20:45:04.85" personId="{63BE2683-CD05-475F-A892-6A6250E8BECC}" id="{C76739AE-F30E-4CB4-A9F9-C3601AA76518}">
    <text xml:space="preserve">"Included papers were extracted in duplicate." </text>
  </threadedComment>
  <threadedComment ref="BR42" dT="2025-01-23T20:50:03.91" personId="{63BE2683-CD05-475F-A892-6A6250E8BECC}" id="{4E535EE1-BDE1-40F4-BDDD-203344CDD276}">
    <text xml:space="preserve">"Despite being mostly systematic reviews of randomized trials—which are the best causal evidence for effects of interventions—we judged the certainty of all effects to be low." </text>
  </threadedComment>
  <threadedComment ref="CL42" dT="2025-01-23T21:04:31.46" personId="{63BE2683-CD05-475F-A892-6A6250E8BECC}" id="{457DB81C-104C-4B3C-B328-7CFB22337137}">
    <text>"These effects were heterogeneous between reviews (I² = 0.85)”</text>
  </threadedComment>
  <threadedComment ref="CR42" dT="2025-01-23T21:07:31.22" personId="{63BE2683-CD05-475F-A892-6A6250E8BECC}" id="{B470DAA3-C446-4299-A538-9623F39389F3}">
    <text>”… then conducted moderation analyses to assess whether interventions were homogenous within mechanism and outcome”</text>
  </threadedComment>
  <threadedComment ref="DA42" dT="2025-01-23T21:10:04.29" personId="{63BE2683-CD05-475F-A892-6A6250E8BECC}" id="{AFFD195E-3D14-4F7D-9166-D711DA0369B8}">
    <text>Figure 1</text>
  </threadedComment>
  <threadedComment ref="DC42" dT="2025-01-23T21:10:50.87" personId="{63BE2683-CD05-475F-A892-6A6250E8BECC}" id="{B671B49E-61E9-4886-8130-35CF9788E144}">
    <text>Figure 2 and figure 3</text>
  </threadedComment>
  <threadedComment ref="DE42" dT="2025-01-23T21:12:05.87" personId="{63BE2683-CD05-475F-A892-6A6250E8BECC}" id="{A24F941F-BABB-433C-997E-21C2927DE44A}">
    <text>Table 1</text>
  </threadedComment>
  <threadedComment ref="DH42" dT="2025-01-23T21:14:01.59" personId="{63BE2683-CD05-475F-A892-6A6250E8BECC}" id="{85B53A4B-6D50-4A65-8B81-5663B5ECE3F4}">
    <text>Supplementary Table S1</text>
  </threadedComment>
  <threadedComment ref="DJ42" dT="2025-01-23T21:19:07.16" personId="{63BE2683-CD05-475F-A892-6A6250E8BECC}" id="{EAC09F86-0F55-4957-89FB-C585B3143481}">
    <text>”due to limitations in many of the included systematic reviews (e.g., many did not assess the quality of included studies; much neglected publication bias)”</text>
  </threadedComment>
  <threadedComment ref="DP42" dT="2025-01-23T21:18:01.33" personId="{63BE2683-CD05-475F-A892-6A6250E8BECC}" id="{EF5CFCE2-CBFC-4B5C-814F-941A5240E06C}">
    <text>"Our meta-review was prospectively registered on the Open Science Framework (https://osf.io/465ej/)”</text>
    <extLst>
      <x:ext xmlns:xltc2="http://schemas.microsoft.com/office/spreadsheetml/2020/threadedcomments2" uri="{F7C98A9C-CBB3-438F-8F68-D28B6AF4A901}">
        <xltc2:checksum>24199288</xltc2:checksum>
        <xltc2:hyperlink startIndex="77" length="21" url="https://osf.io/465ej/"/>
      </x:ext>
    </extLst>
  </threadedComment>
  <threadedComment ref="DT42" dT="2025-01-23T21:16:57.34" personId="{63BE2683-CD05-475F-A892-6A6250E8BECC}" id="{505AE04D-A8E1-46EE-BBF9-C8E4D952343E}">
    <text xml:space="preserve">"Raw data and code for reproducing the analyses are available at https://osf.io/465ej/." </text>
    <extLst>
      <x:ext xmlns:xltc2="http://schemas.microsoft.com/office/spreadsheetml/2020/threadedcomments2" uri="{F7C98A9C-CBB3-438F-8F68-D28B6AF4A901}">
        <xltc2:checksum>1733776513</xltc2:checksum>
        <xltc2:hyperlink startIndex="65" length="21" url="https://osf.io/465ej/"/>
      </x:ext>
    </extLst>
  </threadedComment>
  <threadedComment ref="W43" dT="2025-01-20T11:45:24.95" personId="{63BE2683-CD05-475F-A892-6A6250E8BECC}" id="{23A85CB8-E01F-8B47-BAC6-8A8CF6AB0291}">
    <text>Appendix B</text>
  </threadedComment>
  <threadedComment ref="AA43" dT="2025-01-20T11:49:31.56" personId="{63BE2683-CD05-475F-A892-6A6250E8BECC}" id="{4FDD23D3-6A19-744B-A235-D021C369373B}">
    <text>“Model 3 (k = 233) extended Model 2 by adding six meta-analyses assessing the far-transfer effects of other cognitive-training programs (video-games, music, chess, and exergames)”</text>
  </threadedComment>
  <threadedComment ref="AB43" dT="2025-01-20T11:48:59.21" personId="{63BE2683-CD05-475F-A892-6A6250E8BECC}" id="{2D090C49-4907-804F-B8CE-597E5906E8A8}">
    <text>“The total number of effect sizes, clusters, and participants included were n = 1,555, k = 332, and N = 21,968, respectively“</text>
  </threadedComment>
  <threadedComment ref="AD43" dT="2025-01-20T11:54:12.57" personId="{63BE2683-CD05-475F-A892-6A6250E8BECC}" id="{A39ECBF9-E031-B146-BBFB-7149E5730D2A}">
    <text xml:space="preserve">"We selected four meta-analyses including typically developing (TD) children (Sala &amp; Gobet, 2017b), children with learning disabilities (LD; a subsample of Melby-Lervåg et al., 2016), healthy adults (a subsample of Melby-Lervåg et al., 2016), and healthy older adults and older adults with mild cognitive impairment (Sala, Aksayli, Tatlidil, Gondo, &amp; Gobet, 2018a)." </text>
  </threadedComment>
  <threadedComment ref="AO43" dT="2025-01-20T12:07:48.32" personId="{63BE2683-CD05-475F-A892-6A6250E8BECC}" id="{77E2B218-20FB-5A44-8151-5D53C335FABD}">
    <text xml:space="preserve">"The primary study included at least one control group."  
And "The primary study included a pre-test to assess baseline effects." </text>
  </threadedComment>
  <threadedComment ref="AW43" dT="2025-01-20T12:07:08.39" personId="{63BE2683-CD05-475F-A892-6A6250E8BECC}" id="{6C567258-7C56-4E4D-958A-FB7A709621E2}">
    <text xml:space="preserve">"The effect size used in all the meta-analyses was the corrected standardized mean difference, that is, Hedges’ g (Hedges &amp; Olkin, 1985)." </text>
  </threadedComment>
  <threadedComment ref="BF43" dT="2025-01-20T12:03:57.85" personId="{63BE2683-CD05-475F-A892-6A6250E8BECC}" id="{1FD15741-90F1-B846-8F11-ADE109A015B9}">
    <text xml:space="preserve">"Two coders independently judged whether the primary studies implemented such an active control group." </text>
  </threadedComment>
  <threadedComment ref="BH43" dT="2025-01-20T12:04:22.75" personId="{63BE2683-CD05-475F-A892-6A6250E8BECC}" id="{FBFD39D6-3C42-5E41-A4DF-98512548AC01}">
    <text xml:space="preserve">“Regarding the type of control group (active vs. non-active), there was 100% inter-rater agreement." </text>
  </threadedComment>
  <threadedComment ref="BJ43" dT="2025-01-20T12:12:03.21" personId="{63BE2683-CD05-475F-A892-6A6250E8BECC}" id="{E59259DF-64D6-DD47-B227-D484266B7E7F}">
    <text xml:space="preserve">"Second-order meta-analysis assumes the first-order meta-analyses to be statistically independent, that is, no study can be included in more than one meta-analysis." </text>
  </threadedComment>
  <threadedComment ref="BN43" dT="2025-01-20T12:17:46.24" personId="{63BE2683-CD05-475F-A892-6A6250E8BECC}" id="{019A03A5-34D7-1342-AE19-6C036BBA0162}">
    <text>“We established four inclusion criteria to guarantee a minimum standard of design quality in the primary studies: …”</text>
  </threadedComment>
  <threadedComment ref="BQ43" dT="2025-01-20T12:18:25.01" personId="{63BE2683-CD05-475F-A892-6A6250E8BECC}" id="{FE81E8C9-11D2-AB4A-950A-2A59C0977A7D}">
    <text xml:space="preserve">"The primary study included at least one control group; the primary study included a pre-test to assess baseline effects; the experimental samples were not self-selected." </text>
  </threadedComment>
  <threadedComment ref="BR43" dT="2025-01-20T12:18:59.37" personId="{63BE2683-CD05-475F-A892-6A6250E8BECC}" id="{B2CF077B-694C-4042-B9F9-7A53D91DC75F}">
    <text xml:space="preserve">"This additional analysis was performed as a sensitivity analysis to control for the overall effect sizes, publication-bias estimates, and true between-study heterogeneity calculated in the first-order meta-analyses." </text>
  </threadedComment>
  <threadedComment ref="BT43" dT="2025-01-20T12:26:51.74" personId="{63BE2683-CD05-475F-A892-6A6250E8BECC}" id="{4B9584E5-B778-D149-9AEC-E134C5DA3A28}">
    <text xml:space="preserve">"We used random-effect models for all the first-order meta-analyses."
"Second-order meta-analysis aims to estimate to what extent second-order sampling error accounts for the difference across overall meta-analytic means in a set of first-order meta-analyses regarding a particular topic."
</text>
  </threadedComment>
  <threadedComment ref="CD43" dT="2025-01-20T12:33:00.42" personId="{63BE2683-CD05-475F-A892-6A6250E8BECC}" id="{CC6E60C3-4C2C-974A-8C92-40A65211BA8A}">
    <text xml:space="preserve">"We performed a parallel set of meta-analytic models using the Robust Variance Estimation method (RVE; Hedges et al., 2010)." 
"We use Cheung and Chan’s (2014) samplewise-adjusted-individual correction. This technique has been designed to estimate an adjusted variance based on (a) the number of the dependent effect sizes and (b) inter-effect-size correlation." </text>
  </threadedComment>
  <threadedComment ref="CE43" dT="2025-01-20T12:22:11.59" personId="{63BE2683-CD05-475F-A892-6A6250E8BECC}" id="{96406C7E-1EFD-9A4F-A4EC-A8627FE17582}">
    <text xml:space="preserve">"We therefore ran a set of publication bias analyses for all the first-order meta-analyses and built a parallel set of second-order meta-analyses using publication-bias corrected estimates." </text>
  </threadedComment>
  <threadedComment ref="CL43" dT="2025-01-20T12:21:34.95" personId="{63BE2683-CD05-475F-A892-6A6250E8BECC}" id="{AE4891E4-17C0-2141-B2B0-9CD8360E6726}">
    <text xml:space="preserve">"The test of heterogeneity was significant, Q = 189.08, τ² = 0.036, p &lt; .001." </text>
  </threadedComment>
  <threadedComment ref="CR43" dT="2025-01-20T12:20:57.17" personId="{63BE2683-CD05-475F-A892-6A6250E8BECC}" id="{1530CF48-82B6-8543-BBF7-D792CD707BBB}">
    <text xml:space="preserve">"Meta-regression was used to identify the role of population type as a moderator in Models 1 and 2." </text>
  </threadedComment>
  <threadedComment ref="CW43" dT="2025-01-20T12:20:12.79" personId="{63BE2683-CD05-475F-A892-6A6250E8BECC}" id="{2F1BF0E2-B3D7-6B48-BD80-F275509AB951}">
    <text xml:space="preserve">"We also ran an omnibus meta-analysis—that is, a first-order meta-analysis including all the primary studies of all the first-order meta-analyses—for each of the three models. This additional analysis was performed as a sensitivity analysis." </text>
  </threadedComment>
  <threadedComment ref="DF43" dT="2025-01-20T12:51:36.34" personId="{63BE2683-CD05-475F-A892-6A6250E8BECC}" id="{2E5614ED-52B8-444E-8ADD-6576DE1B4AB6}">
    <text>E.g table 12</text>
  </threadedComment>
  <threadedComment ref="DJ43" dT="2025-01-20T12:39:38.36" personId="{63BE2683-CD05-475F-A892-6A6250E8BECC}" id="{AFB4F33A-FD4B-7546-9DC0-18A706E4FF26}">
    <text>“Moreover, the impact of publication bias on the overall results appears to be somewhat limited.”</text>
  </threadedComment>
  <threadedComment ref="E44" dT="2024-10-10T08:59:23.92" personId="{63BE2683-CD05-475F-A892-6A6250E8BECC}" id="{9358F8A4-37B7-4A34-BBD0-63FBCAD82253}">
    <text>2017?</text>
  </threadedComment>
  <threadedComment ref="AI44" dT="2024-11-20T07:43:20.47" personId="{63BE2683-CD05-475F-A892-6A6250E8BECC}" id="{5D4104A7-DF46-4D21-9418-AB4ECBCD3808}">
    <text>In appendix</text>
  </threadedComment>
  <threadedComment ref="AJ44" dT="2024-11-20T08:10:23.43" personId="{63BE2683-CD05-475F-A892-6A6250E8BECC}" id="{A2C41BAA-BDC3-4AE1-A9CD-C98040DAABD8}">
    <text>“The titles and abstracts retrieved from implementing the search strategy were screened by 2 independent assessors. Citations of systematic reviews deemed potentially relevant were selected, and the full-text articles were retrieved for complete screening. The final eligibility of full texts was determined by the same 2 reviewers, with disagreements resolved through consensus.”</text>
  </threadedComment>
  <threadedComment ref="AK44" dT="2024-11-20T08:12:02.13" personId="{63BE2683-CD05-475F-A892-6A6250E8BECC}" id="{90B45EDC-EA2B-4845-8933-CA8D338C814F}">
    <text>”disagreements resolved through consensus”</text>
  </threadedComment>
  <threadedComment ref="AW44" dT="2024-11-20T08:23:57.87" personId="{63BE2683-CD05-475F-A892-6A6250E8BECC}" id="{BC349EDD-5F6F-43F4-B630-5B97DEA3CA11}">
    <text xml:space="preserve">"To calculate ESs, data on means, measures of variability (SDs and 95% confidence intervals [CIs]), and sample sizes were extracted for 1 outcome per trial, which was the primary outcome specified by the review/meta-analysis authors. If the review/meta-analysis primary outcome was binary (not continuous), not specified by the review/meta-analysis authors, or its meta-analysis did not include at least 5 trials, data were extracted on the continuous outcome of the meta-analysis with the largest number of included trials"​ </text>
  </threadedComment>
  <threadedComment ref="BF44" dT="2024-11-20T12:39:10.98" personId="{63BE2683-CD05-475F-A892-6A6250E8BECC}" id="{A5018201-055E-4359-8346-D1DBC47CC6A6}">
    <text xml:space="preserve">"Data were extracted in duplicate by 2 independent assessors, with disagreements resolved through a consensus meeting"​ </text>
  </threadedComment>
  <threadedComment ref="BP44" dT="2024-11-20T17:14:18.87" personId="{63BE2683-CD05-475F-A892-6A6250E8BECC}" id="{81F2F099-9309-4E50-8A5E-4BB72790A7BF}">
    <text xml:space="preserve">The Cochrane Risk of Bias tool was used to assess methodological quality by evaluating key domains such as random sequence generation, allocation concealment, and baseline comparability. Each domain was rated as "low," "high," or "unclear" risk of bias.
"To assess selection bias in the selected RCTs, 3 methodological domains of the Cochrane Collaboration’s Risk of Bias tool relevant to selection bias (Higgins et al. 2011) were examined: random sequence generation, allocation concealment, and baseline comparability"​
</text>
  </threadedComment>
  <threadedComment ref="BQ44" dT="2024-11-20T17:17:22.14" personId="{63BE2683-CD05-475F-A892-6A6250E8BECC}" id="{419FF0B0-BE4E-4DBD-8D57-DB26C1806314}">
    <text>quality was represented by assessing random sequence generation, allocation concealment, and baseline comparability. Each item was scored as high, low, or unclear risk</text>
  </threadedComment>
  <threadedComment ref="BR44" dT="2024-11-20T17:26:13.45" personId="{63BE2683-CD05-475F-A892-6A6250E8BECC}" id="{ED400A49-E888-4C7D-BC56-CB3D40AA6CC3}">
    <text xml:space="preserve">"Authors of systematic reviews using oral health randomized controlled trials should perform sensitivity analyses based on the adequacy of sequence generation and allocation concealment" </text>
  </threadedComment>
  <threadedComment ref="BS44" dT="2024-11-22T09:48:32.19" personId="{4DA524E8-3868-F444-A020-D0F395DBFD3A}" id="{7DA3F0F8-ABFE-484C-B3C3-41BC3006FC68}">
    <text>Wouldn’t we call this a 3-level SOMA?</text>
  </threadedComment>
  <threadedComment ref="CS44" dT="2024-11-20T18:58:19.74" personId="{63BE2683-CD05-475F-A892-6A6250E8BECC}" id="{D1F15FC0-213F-4D89-AD47-799790E20197}">
    <text xml:space="preserve">"The results of the stratified analyses showed that differences in treatment ES estimates between trials with adequate and inadequate/unknown sequence generation were significant"​ 
"To determine the impact of potential additional factors (dental specialty, type of outcome, magnitude of treatment effect estimate, effect of heterogeneity of meta-analysis on treatment ES estimates), the meta-epidemiological analysis was stratified"​ 
"Interaction tests accompanying these stratified analyses were based on Z scores according to the following factors: magnitude of treatment effect estimate (large vs. small), heterogeneity of meta-analysis, type of outcome (objective vs. subjective), and dental specialty" 
</text>
  </threadedComment>
  <threadedComment ref="DE44" dT="2024-11-22T11:29:01.26" personId="{4DA524E8-3868-F444-A020-D0F395DBFD3A}" id="{AF93E6E4-E695-4F4D-8207-5C6AE3384EFB}">
    <text>Appendix Table 1</text>
  </threadedComment>
  <threadedComment ref="W45" dT="2025-01-15T19:21:14.39" personId="{63BE2683-CD05-475F-A892-6A6250E8BECC}" id="{350E39F2-4FF6-4678-A865-1B669612FBFF}">
    <text>Table 1</text>
  </threadedComment>
  <threadedComment ref="AE45" dT="2025-01-15T19:26:35.16" personId="{63BE2683-CD05-475F-A892-6A6250E8BECC}" id="{E8742802-6AE9-4C82-9F59-4AA832E1A2C6}">
    <text xml:space="preserve">"We performed a standardized search... limited to English or German language." </text>
  </threadedComment>
  <threadedComment ref="AJ45" dT="2025-01-15T19:39:11.60" personId="{63BE2683-CD05-475F-A892-6A6250E8BECC}" id="{AA645BAE-4CEE-4E60-99FF-7257C710C554}">
    <text xml:space="preserve">"Two trained and independent raters (Rater A and Rater B) both screened a little over 25% of the same titles and abstracts for inclusion." 
"Two raters (Rater A and Rater C) independently screened 49 full texts for inclusion in the meta-analysis." </text>
  </threadedComment>
  <threadedComment ref="AK45" dT="2025-01-15T19:39:54.71" personId="{63BE2683-CD05-475F-A892-6A6250E8BECC}" id="{2FD9E474-C566-47F9-AF82-B68598F854D6}">
    <text xml:space="preserve">"Their inter-rater agreement for the inclusion of studies based on the abstracts was 84%."
“The inter-rater agreement for the inclusion of the full-texts was 81%." </text>
  </threadedComment>
  <threadedComment ref="AM45" dT="2025-01-15T19:40:58.45" personId="{63BE2683-CD05-475F-A892-6A6250E8BECC}" id="{D38A50FC-4DC4-4360-AC74-77237A83EC49}">
    <text xml:space="preserve">The original values show that 25% of titles and abstracts were screened, while 15.45% of full texts (49 out of 317) were reviewed. To provide a more comprehensive estimate, we have averaged these values, resulting in an overall screening rate of 20.23%. 
"Two trained and independent raters (Rater A and Rater B) both screened a little over 25% of the same titles and abstracts for inclusion."
"Two raters (Rater A and Rater C) independently screened 49 full texts for inclusion in the meta-analysis." </text>
  </threadedComment>
  <threadedComment ref="AO45" dT="2025-01-15T19:48:31.72" personId="{63BE2683-CD05-475F-A892-6A6250E8BECC}" id="{BEAAC9A8-433B-4649-ACC1-F11E3674F788}">
    <text>This indicates that the primary study designs in the included meta-analyses were primarily experimental, such as RCTs:
"Whenever a control group was employed, the intervention and the control group differed only in terms of patient education."</text>
  </threadedComment>
  <threadedComment ref="AW45" dT="2025-01-15T19:46:44.35" personId="{63BE2683-CD05-475F-A892-6A6250E8BECC}" id="{7B13B48B-AF94-46A8-A2A4-70FF296F4AA9}">
    <text>See under ”Preparation of effect sizes and statistical analyses ” part in the paper</text>
  </threadedComment>
  <threadedComment ref="BF45" dT="2025-01-15T19:34:28.25" personId="{63BE2683-CD05-475F-A892-6A6250E8BECC}" id="{49205FF2-4F4C-4B73-9337-9BD4F25FE5FF}">
    <text xml:space="preserve">"Two trained and independent raters (Rater A and Rater C) double coded 61 full texts (reporting 73% of the included effect sizes)." </text>
  </threadedComment>
  <threadedComment ref="BG45" dT="2025-01-15T19:34:53.14" personId="{63BE2683-CD05-475F-A892-6A6250E8BECC}" id="{60488C30-912B-4ADD-B733-D85551FA9FB5}">
    <text xml:space="preserve">"The inter-rater agreement for the coding of all moderators and effect sizes was 96%." </text>
  </threadedComment>
  <threadedComment ref="BI45" dT="2025-01-15T19:51:45.85" personId="{63BE2683-CD05-475F-A892-6A6250E8BECC}" id="{13E48E77-3F3E-428D-9E33-0C0118739C7F}">
    <text xml:space="preserve">"Two trained and independent raters (Rater A and Rater C) double coded 61 full texts (reporting 73% of the included effect sizes)." 
</text>
  </threadedComment>
  <threadedComment ref="BJ45" dT="2025-01-15T19:53:01.75" personId="{63BE2683-CD05-475F-A892-6A6250E8BECC}" id="{0B21DE3D-1A1E-4B03-8795-46A0625D7E3A}">
    <text>"Whenever there was overlap between meta-analyses, we included only the most recent of these meta-analyses, which was usually also the largest."</text>
  </threadedComment>
  <threadedComment ref="BQ45" dT="2025-01-15T19:58:45.48" personId="{63BE2683-CD05-475F-A892-6A6250E8BECC}" id="{5736C86E-6834-4756-B856-B05EF93BC68E}">
    <text>"Quality ratings assessed by AMSTAR-2... indicated only low and critically low methodological quality. The critical weaknesses of the specific meta-analyses are presented in the last column of Table 1." 
In table 1 items are kept separate.</text>
  </threadedComment>
  <threadedComment ref="BR45" dT="2025-01-15T19:55:53.01" personId="{63BE2683-CD05-475F-A892-6A6250E8BECC}" id="{85610DB1-4075-4B3E-ADBC-4111C4D78359}">
    <text xml:space="preserve">"The main limitations of the current review are those of the meta-analyses included, which mirror the limitations of the primary studies. Quality ratings assessed by AMSTAR-2... indicated only low and critically low methodological quality." </text>
  </threadedComment>
  <threadedComment ref="CE45" dT="2025-01-15T20:10:38.68" personId="{63BE2683-CD05-475F-A892-6A6250E8BECC}" id="{EDD1A3D4-0A08-4B77-AB4E-310E8D9BCCE3}">
    <text xml:space="preserve">"We performed analyses of publication bias using a funnel plot... considering all effect sizes included in our second order meta-analysis." </text>
  </threadedComment>
  <threadedComment ref="CL45" dT="2025-01-15T20:09:53.01" personId="{63BE2683-CD05-475F-A892-6A6250E8BECC}" id="{A6523FC1-935A-4093-B9A8-3C198E8D17D5}">
    <text xml:space="preserve">"The proportion of the observed variance explained by the second order sampling variance was ProVar = 0.101, indicating meaningful variability between meta-analyses." </text>
  </threadedComment>
  <threadedComment ref="CS45" dT="2025-01-15T20:12:00.67" personId="{63BE2683-CD05-475F-A892-6A6250E8BECC}" id="{A7736117-9815-47CE-BD01-6EFC041D606D}">
    <text xml:space="preserve">"We performed several moderator analyses based on the 156 meta-analytic effects described in the following." </text>
  </threadedComment>
  <threadedComment ref="CW45" dT="2025-01-15T20:08:36.37" personId="{63BE2683-CD05-475F-A892-6A6250E8BECC}" id="{36B83584-02C1-4D2B-B5EC-8F9BBE3BC271}">
    <text>"We conducted sensitivity analyses by removing the outlier from estimating the overall effect size."</text>
  </threadedComment>
  <threadedComment ref="CX45" dT="2025-01-15T20:08:16.38" personId="{63BE2683-CD05-475F-A892-6A6250E8BECC}" id="{AC24667E-5F51-4E2F-8C03-8D6AEEB6E78B}">
    <text xml:space="preserve">"We performed additional exploratory analyses to test whether patient education was also effective for enhancing knowledge and skills, and positive health behavior, because these are possible mediators." </text>
  </threadedComment>
  <threadedComment ref="DA45" dT="2025-01-15T20:29:36.79" personId="{63BE2683-CD05-475F-A892-6A6250E8BECC}" id="{5873B5BA-2E44-4AB1-A75B-F309B8FB9E81}">
    <text>Figure 1</text>
  </threadedComment>
  <threadedComment ref="DB45" dT="2025-01-15T20:30:18.23" personId="{63BE2683-CD05-475F-A892-6A6250E8BECC}" id="{07AC9AFC-1A2C-4260-A819-DE7E77D2C7A2}">
    <text>Figure 2</text>
  </threadedComment>
  <threadedComment ref="DE45" dT="2025-01-15T20:31:41.21" personId="{63BE2683-CD05-475F-A892-6A6250E8BECC}" id="{FB8EDD60-CE02-48E3-AA71-AC370F5D7D2F}">
    <text>Table 1</text>
  </threadedComment>
  <threadedComment ref="DF45" dT="2025-01-15T20:32:04.43" personId="{63BE2683-CD05-475F-A892-6A6250E8BECC}" id="{B8306FF7-E295-4DA1-9DE7-0D1CD6541DBD}">
    <text>Table 2</text>
  </threadedComment>
  <threadedComment ref="DH45" dT="2025-01-15T20:33:53.27" personId="{63BE2683-CD05-475F-A892-6A6250E8BECC}" id="{51B5E794-AFEC-4272-BDDB-687DE3FF43EA}">
    <text>Table 1 last column</text>
  </threadedComment>
  <threadedComment ref="DJ45" dT="2025-02-06T22:21:02.96" personId="{4DA524E8-3868-F444-A020-D0F395DBFD3A}" id="{542676DB-C7D5-194E-9162-A3F670A7464A}">
    <text>It is not discussed, but only mentioned in introduction</text>
  </threadedComment>
  <threadedComment ref="DM45" dT="2025-01-15T20:45:47.69" personId="{63BE2683-CD05-475F-A892-6A6250E8BECC}" id="{43461DBA-AED6-4167-951E-D464C94D007B}">
    <text xml:space="preserve">"Due to limited data from the first-order meta-analyses, we were not able to investigate possible differential effects of patient education due to differences in the characteristics of the patients, for example, socioeconomic status or age, and their conditions, for example, acute vs chronic condition." </text>
  </threadedComment>
  <threadedComment ref="AA46" dT="2024-11-13T16:07:51.63" personId="{4DA524E8-3868-F444-A020-D0F395DBFD3A}" id="{B2A54F44-C82C-0E42-A841-9A26447B8B17}">
    <text>See page 635 above the tables in pink.</text>
  </threadedComment>
  <threadedComment ref="AC46" dT="2025-02-16T20:35:43.44" personId="{63BE2683-CD05-475F-A892-6A6250E8BECC}" id="{5BAA03FC-6F2E-43C0-ACEB-68A7C0DC29BC}">
    <text>Table B.1 in Appendix B (N Per)</text>
  </threadedComment>
  <threadedComment ref="AD46" dT="2024-10-29T21:06:56.08" personId="{63BE2683-CD05-475F-A892-6A6250E8BECC}" id="{C72B1A9C-E5C0-4BCC-988C-720EF6D15755}">
    <text>The paper indicates a focus on educational achievement, primarily involving students across various educational levels as the subjects of analysis. However, there is no indication that only students were included.</text>
  </threadedComment>
  <threadedComment ref="AE46" dT="2024-10-29T21:09:45.01" personId="{63BE2683-CD05-475F-A892-6A6250E8BECC}" id="{55299DD3-0769-4CB8-BF80-9F6EF5E1E9DD}">
    <text xml:space="preserve">“Language = English" </text>
  </threadedComment>
  <threadedComment ref="AG46" dT="2024-10-29T21:08:30.93" personId="{63BE2683-CD05-475F-A892-6A6250E8BECC}" id="{C87545EF-5A40-4B8D-9CAE-B44F83D977E8}">
    <text xml:space="preserve">“Several authors recommend inclusion of unpublished studies in meta-analysis since unpublished studies are more likely to have nonsignificant results…” </text>
  </threadedComment>
  <threadedComment ref="AH46" dT="2024-10-28T13:41:38.62" personId="{63BE2683-CD05-475F-A892-6A6250E8BECC}" id="{C5ED3289-961D-4A88-985A-A7000E04AB55}">
    <text xml:space="preserve">The paper specifies that the goal was to locate “as many meta-analyses related to student achievement as possible” through a systematic database search focused on meta-analyses​ </text>
  </threadedComment>
  <threadedComment ref="AO46" dT="2024-11-01T10:20:51.35" personId="{63BE2683-CD05-475F-A892-6A6250E8BECC}" id="{0CC13CA7-97ED-436B-95F6-14203A9F194F}">
    <text>Table 5.10</text>
  </threadedComment>
  <threadedComment ref="AW46" dT="2024-10-29T21:49:06.45" personId="{63BE2683-CD05-475F-A892-6A6250E8BECC}" id="{C0F5D6BC-78B9-424A-A83E-8BFFCCAD40CE}">
    <text xml:space="preserve">The standardized difference between group means was the effect size metric used in all statistical computations. Correlational effect sizes were converted from an r to a Cohen's d which is a standardized difference between group means (Rosenthal, 1994, p. 239) </text>
  </threadedComment>
  <threadedComment ref="BF46" dT="2024-10-29T21:18:13.38" personId="{63BE2683-CD05-475F-A892-6A6250E8BECC}" id="{F4A264CE-0EBC-4E6B-9402-FFF7115064B6}">
    <text xml:space="preserve">“A total of five graduate students who were in a Ph.D. or Master's program in education and the senior author served as coders for this study…During Stage II coding, each document was coded by a pair of coders” </text>
  </threadedComment>
  <threadedComment ref="BG46" dT="2024-10-29T21:20:05.32" personId="{63BE2683-CD05-475F-A892-6A6250E8BECC}" id="{34EE3A5F-6C3E-4E9B-9AF1-AEB131C436FE}">
    <text xml:space="preserve">“Percent agreement was computed on the first and last five meta-analyses coded…Percent agreements for total agreement in the first and last five meta-analyses were 90.85% and 91.62% respectively with an average of 91.2%” </text>
  </threadedComment>
  <threadedComment ref="BJ46" dT="2024-11-01T10:28:04.77" personId="{63BE2683-CD05-475F-A892-6A6250E8BECC}" id="{385FADA9-5222-427D-90C0-2A72B003C73B}">
    <text>“Interdependence of studies is a potential problem in meta-analysis when the same sample is featured in multiple documents...an analogous problem can occur in a meta-synthesis when the same primary studies are included in two or more meta-analytic studies”</text>
  </threadedComment>
  <threadedComment ref="BL46" dT="2024-11-01T10:29:04.54" personId="{63BE2683-CD05-475F-A892-6A6250E8BECC}" id="{B38CCC49-DDF0-4E61-911F-00B3F5BF8315}">
    <text xml:space="preserve">"Outcome variables for the meta-analyses within the treatment domain were examined. If the outcome variables were similar, the reference lists were examined to determine the amount of primary study overlap"​ </text>
  </threadedComment>
  <threadedComment ref="BT46" dT="2024-11-01T12:15:09.65" personId="{63BE2683-CD05-475F-A892-6A6250E8BECC}" id="{11BCE411-AEED-4EF0-8DCD-62E9A2C90882}">
    <text xml:space="preserve">"The statistical analyses utilized in the substantive component consisted of descriptive statistics, stem and leaf plots, and analyses of variance. Post hoc comparisons were made using the Tukey procedure and the Scheffé procedure" 
"The total mean effect size was calculated from either the individual effect sizes from each primary study (first preference) or effect sizes from the categories of study characteristics (second preference)"​ </text>
  </threadedComment>
  <threadedComment ref="CC46" dT="2024-11-01T12:22:06.04" personId="{63BE2683-CD05-475F-A892-6A6250E8BECC}" id="{FEA04274-F0E1-4B39-B164-A005A7A2F74D}">
    <text xml:space="preserve">multiplicity was addressed by selecting and calculating a single weighted mean effect size per category to avoid duplication:
"The total mean effect size was calculated from either the individual effect sizes from each primary study (first preference) or effect sizes from the categories of study characteristics (second preference)"​
</text>
  </threadedComment>
  <threadedComment ref="CF46" dT="2024-11-01T12:27:50.15" personId="{63BE2683-CD05-475F-A892-6A6250E8BECC}" id="{B6B66022-B93F-45ED-B5A8-B967065A5B16}">
    <text xml:space="preserve">"Data were also analyzed using funnel plots, and the correlation coefficients Kendall's tau and Spearman's rho... A sensitivity analysis was conducted to explore possible relationships among various variables and effect sizes which could indicate publication bias" </text>
  </threadedComment>
  <threadedComment ref="CM46" dT="2024-11-01T12:37:43.07" personId="{63BE2683-CD05-475F-A892-6A6250E8BECC}" id="{9477CFBF-3174-4080-94C9-9DD30E7C235B}">
    <text>see pages 639 and 640.</text>
  </threadedComment>
  <threadedComment ref="CW46" dT="2024-11-01T12:13:34.08" personId="{63BE2683-CD05-475F-A892-6A6250E8BECC}" id="{03AA627D-1667-48BB-86F1-B8AB79D31A35}">
    <text xml:space="preserve">Here, sensitivtiy analyses seem to refer to a publication bias analysis. In the present review of SOMAs, we define sensitivity analyses as a check for robustness against the use of different methods, different samples, and the like.
"A sensitivity analysis was conducted to explore possible relationships among various variables and effect sizes which could indicate publication bias"​ </text>
  </threadedComment>
  <threadedComment ref="DE46" dT="2024-11-01T13:46:46.55" personId="{63BE2683-CD05-475F-A892-6A6250E8BECC}" id="{31A98349-9949-4F21-AF48-49DA037E3F43}">
    <text xml:space="preserve">Table B.1 in Appendix B presents an overall description of the meta-analyses grouped by the educational productivity factors </text>
  </threadedComment>
  <threadedComment ref="DG46" dT="2024-11-01T13:52:26.45" personId="{63BE2683-CD05-475F-A892-6A6250E8BECC}" id="{1DB6BB64-01DA-45E1-BB40-F4D776B6B88A}">
    <text xml:space="preserve">Tables with effect sizes by moderator-like characteristics (e.g., gender, SES) were provided:
"Table B.5 includes effect sizes for gender" and "Table B.6 includes effect sizes for SES"​
</text>
  </threadedComment>
  <threadedComment ref="DJ46" dT="2024-11-01T16:29:51.38" personId="{63BE2683-CD05-475F-A892-6A6250E8BECC}" id="{ED3F7286-0328-4A96-91A5-74FC022D1C01}">
    <text>In discussion</text>
  </threadedComment>
  <threadedComment ref="DM46" dT="2024-11-14T10:22:43.41" personId="{4DA524E8-3868-F444-A020-D0F395DBFD3A}" id="{6EDAD0D1-4A8E-E440-89EA-0E8DCD6E3529}">
    <text>While not the diversity of samples was discessed, the authors noted that only published meta-analyses were used, raising concerns that the sample might not fully represent all relevant studies, particularly unpublished ones, which could impact diversity in the sample.
 "This bias is of concern since only published meta-analyses were used in this study"​</text>
  </threadedComment>
  <threadedComment ref="DN46" dT="2024-11-02T11:25:55.10" personId="{63BE2683-CD05-475F-A892-6A6250E8BECC}" id="{3A2B14D1-9CC8-43CD-808B-D3567D66C41F}">
    <text xml:space="preserve">“Meta-analytic studies should be designed so that differential effects among contextual characteristics such as gender or SES can be measured and reported... Investigation of publication bias in both meta-analytic and meta-synthesis research will increase confidence in the findings"​ </text>
  </threadedComment>
  <threadedComment ref="DO46" dT="2024-11-02T11:29:11.29" personId="{63BE2683-CD05-475F-A892-6A6250E8BECC}" id="{74915E49-C7E3-41B9-A0FF-36BB86D7A5AD}">
    <text xml:space="preserve">"This bias is of concern since only published meta-analyses were used in this study"​ 
"Many primary research articles do not include sample size for the experimental and control groups" 
"Differential effects among contextual characteristics... are often not reported" 
"Replication of a particular meta-analysis may be hampered by the lack of information available" 
</text>
  </threadedComment>
  <threadedComment ref="W47" dT="2025-01-17T16:30:20.57" personId="{63BE2683-CD05-475F-A892-6A6250E8BECC}" id="{75AEFB35-1ABF-4F1D-8E0A-0B297B53EF5D}">
    <text>Table 1 and 8</text>
  </threadedComment>
  <threadedComment ref="AA47" dT="2025-01-17T16:21:29.00" personId="{63BE2683-CD05-475F-A892-6A6250E8BECC}" id="{F966021F-141C-40AB-9589-DA1D6245BAA4}">
    <text>”13 meta-analyses on ability grouping and six on acceleration met the inclusion criteria of the current second-order meta-analyses.”</text>
  </threadedComment>
  <threadedComment ref="AB47" dT="2025-01-17T16:46:20.75" personId="{63BE2683-CD05-475F-A892-6A6250E8BECC}" id="{37C72014-F102-4592-A624-02488A8255A5}">
    <text xml:space="preserve">Table 1:
51 + 28 + 78 + 50 + 109 + 43 + 4 + 18 + 29 + 124 + 27 + 15 + 66 = 642
Table 8:
3 + 9 + 1 + 5 + 8 + 10 + 9 + 3 + 4 + 11 + 8 + 10 + 6 + 5 + 5 + 8 + 2  + 6 + 3 + 2 + 11 + 14 + 2 + 7 + 1 + 5 + 11 + 5 + 4 + 1 + 2 + 4 + 1 + 9 + 11 + 6 + 28 =240
Total:
642 + 240 = 882
</text>
  </threadedComment>
  <threadedComment ref="AC47" dT="2025-01-17T17:56:23.80" personId="{63BE2683-CD05-475F-A892-6A6250E8BECC}" id="{C2ECD62D-95B3-4991-A64B-D0AC47F99310}">
    <text>“The 12 studies involved approximately 2,434 students of Grades 1 to 9 in the United States.”
“Six acceleration meta-analyses reviewed at least 125 unique primary studies that involved at least 75,582 participants.”</text>
  </threadedComment>
  <threadedComment ref="AG47" dT="2025-01-17T18:07:16.34" personId="{63BE2683-CD05-475F-A892-6A6250E8BECC}" id="{F31D018F-F78B-48DD-B1D0-0C986D754002}">
    <text>“It had a written document available, either published or unpublished.“</text>
  </threadedComment>
  <threadedComment ref="AJ47" dT="2025-01-17T18:14:26.05" personId="{63BE2683-CD05-475F-A892-6A6250E8BECC}" id="{EC6269EE-DA76-40F8-96B7-6143A1B4A83F}">
    <text xml:space="preserve">“Two authors read the full text of the 40 meta-analyses and determined that 13 meta-analyses on ability grouping and six on acceleration met the inclusion criteria of the current second-order meta-analyses” </text>
  </threadedComment>
  <threadedComment ref="AO47" dT="2025-01-17T18:23:48.40" personId="{63BE2683-CD05-475F-A892-6A6250E8BECC}" id="{DE82863C-CCF0-477D-911B-A72EB0158D59}">
    <text xml:space="preserve">“It included studies that had both treatment and control groups so that standardized mean differences were calculable” </text>
  </threadedComment>
  <threadedComment ref="AW47" dT="2025-01-17T18:28:58.55" personId="{63BE2683-CD05-475F-A892-6A6250E8BECC}" id="{EADA3255-3960-48CE-86B5-AD6BF781E051}">
    <text xml:space="preserve">“The majority of the 13 ability grouping meta-analyses used Cohen’s d or an equivalent of Cohen’s d (often called ‘standard deviation’) as ES indices, except Goldring (1990) who used ESs equivalent to Hedges’ g and Noland (1986) who used Glass’ Δ. All acceleration meta-analyses used Cohen’s d except Steenbergen-Hu and Moon (2011) who reported Hedges’ g. Regardless, all were standardized mean differences” </text>
  </threadedComment>
  <threadedComment ref="BF47" dT="2025-01-17T18:30:36.62" personId="{63BE2683-CD05-475F-A892-6A6250E8BECC}" id="{845292AF-F6DF-469C-B34C-7A06F4D06578}">
    <text xml:space="preserve">“To pilot the coding form, the first and second authors independently double-coded several meta-analyses” </text>
  </threadedComment>
  <threadedComment ref="BJ47" dT="2025-01-17T19:55:36.41" personId="{63BE2683-CD05-475F-A892-6A6250E8BECC}" id="{C35F4BF8-1509-4208-82ED-2599F0F07B34}">
    <text xml:space="preserve">“To examine study overlap, we formed a reference group that consisted of 68 nonduplicated primary studies from three meta-analyses by Slavin (1987, 1990, 1993)... We then compared the references of each of the remaining 10 meta-analyses with the 68 reference studies to calculate the number of overlapping studies” </text>
  </threadedComment>
  <threadedComment ref="BL47" dT="2025-01-17T19:57:09.97" personId="{63BE2683-CD05-475F-A892-6A6250E8BECC}" id="{2A54B8AE-8F0F-4E62-8243-2EE3C562C46A}">
    <text xml:space="preserve">“The percentage of overlapping studies was calculated by dividing the number of overlapping studies with the total number of identifiable studies included in a meta-analysis” </text>
  </threadedComment>
  <threadedComment ref="BN47" dT="2025-01-17T19:57:41.10" personId="{63BE2683-CD05-475F-A892-6A6250E8BECC}" id="{5A833C54-7234-4A3B-AB9F-6D14E2704641}">
    <text xml:space="preserve">“To assess the methodological quality of meta-analyses, we utilized an empirically developed and validated instrument, AMSTAR” </text>
  </threadedComment>
  <threadedComment ref="BQ47" dT="2025-01-17T19:58:51.22" personId="{63BE2683-CD05-475F-A892-6A6250E8BECC}" id="{92A55962-DB66-4C14-A045-1E17A9FDBA01}">
    <text xml:space="preserve">“Each yes response was assigned 1 point. The sum of earned points from the 11 items represented the methodological quality score for each meta-analysis” </text>
  </threadedComment>
  <threadedComment ref="BT47" dT="2025-01-17T20:03:41.59" personId="{63BE2683-CD05-475F-A892-6A6250E8BECC}" id="{61B5C811-C673-4941-B5E3-0C60A06243EE}">
    <text xml:space="preserve">“The integration was conducted with the CMA software using mixed-effects models” </text>
  </threadedComment>
  <threadedComment ref="CF47" dT="2025-01-17T20:19:03.15" personId="{63BE2683-CD05-475F-A892-6A6250E8BECC}" id="{063B0F85-8AF6-40E0-892D-BA1C17543A59}">
    <text>“The current second-order meta-analyses assessed publication bias through producing a funnel plot (Peters, Sutton, Jones, Abrams, &amp; Rushton, 2008) and conducting trim-and-fill analysis (Duvall &amp; Tweedie, 2000).“</text>
  </threadedComment>
  <threadedComment ref="CL47" dT="2025-01-17T20:15:59.61" personId="{63BE2683-CD05-475F-A892-6A6250E8BECC}" id="{48954257-8AAF-4F8F-BA83-529B99FC30CF}">
    <text>”… heterogeneity analyses that assessed whether Hedges’ gs of the original metaanalyses varied significantly. Key statistics include between-meta-analysis variance (Qb), degrees of freedom, p values, and the ratio of between-meta-analysis variance to total variance (I2). ”</text>
  </threadedComment>
  <threadedComment ref="CR47" dT="2025-01-17T20:10:03.72" personId="{63BE2683-CD05-475F-A892-6A6250E8BECC}" id="{A4B685EA-39D6-4253-8FB9-C243989E6EDF}">
    <text xml:space="preserve">“Moderator analyses that were analogous to the analysis of variance were conducted to examine whether the integrated mean ESs differed by the methodological quality level of meta-analyses” </text>
  </threadedComment>
  <threadedComment ref="CW47" dT="2025-01-17T20:11:10.15" personId="{63BE2683-CD05-475F-A892-6A6250E8BECC}" id="{D70828E5-8756-47FB-A4E8-4A4DB81ADA88}">
    <text xml:space="preserve">“We tested whether Hedges’ ggs yielded through such conversions varied substantially when they were calculated based on available alternative information such as confidence intervals" </text>
  </threadedComment>
  <threadedComment ref="DE47" dT="2025-01-17T20:28:16.67" personId="{63BE2683-CD05-475F-A892-6A6250E8BECC}" id="{6855EE31-DADE-496F-ABC1-E46DEF070E36}">
    <text>Table 1 and 8</text>
  </threadedComment>
  <threadedComment ref="DF47" dT="2025-01-17T20:30:57.82" personId="{63BE2683-CD05-475F-A892-6A6250E8BECC}" id="{86DC8DF5-06C9-44E4-BC69-542B8E7DEB2C}">
    <text xml:space="preserve">Tables 3 and 9 </text>
  </threadedComment>
  <threadedComment ref="DG47" dT="2025-01-17T20:32:38.20" personId="{63BE2683-CD05-475F-A892-6A6250E8BECC}" id="{C95826CC-DBA8-4D23-B53E-975031588F23}">
    <text xml:space="preserve">Tables 4 </text>
  </threadedComment>
  <threadedComment ref="DH47" dT="2025-01-17T20:35:01.01" personId="{63BE2683-CD05-475F-A892-6A6250E8BECC}" id="{592C9AF3-3399-4ADB-A1FF-7DC31413892B}">
    <text>Table 6, Table S2 and S4 in supplementary</text>
  </threadedComment>
  <threadedComment ref="DJ47" dT="2025-02-06T22:42:08.82" personId="{4DA524E8-3868-F444-A020-D0F395DBFD3A}" id="{7610A4D4-4B80-2043-AA7B-9C95DCE0BF68}">
    <text>Not in intro or discussion</text>
  </threadedComment>
  <threadedComment ref="AO48" dT="2025-01-23T10:56:24.69" personId="{63BE2683-CD05-475F-A892-6A6250E8BECC}" id="{F3BE722C-ABC3-4223-8F68-873FAC3E3650}">
    <text>”In addition, when multiple meta-analyses (m) provided data indicating the size of the personality–health correlation across specific coding categories (e.g., cross-sectional vs. prospective designs), …”</text>
  </threadedComment>
  <threadedComment ref="AW48" dT="2025-01-23T10:49:54.72" personId="{63BE2683-CD05-475F-A892-6A6250E8BECC}" id="{949B5C84-1DE9-47A4-83C8-D24CD4348DB5}">
    <text xml:space="preserve">"Most meta-analyses reported effect sizes using r statistics, but 2 reported odds ratios and 3 reported Cohen’s ds. The odds ratios and Cohen’s ds were converted to r using commonly accepted formulae"​ </text>
  </threadedComment>
  <threadedComment ref="BF48" dT="2025-01-23T10:31:36.65" personId="{63BE2683-CD05-475F-A892-6A6250E8BECC}" id="{71D10606-188D-4389-BCC2-7D52C4A3652E}">
    <text xml:space="preserve">"Meta-analyses were coded along several variables by two raters, and disagreements between raters were resolved through discussion"​ </text>
  </threadedComment>
  <threadedComment ref="BG48" dT="2025-01-23T10:59:29.46" personId="{63BE2683-CD05-475F-A892-6A6250E8BECC}" id="{80439AF4-382C-4127-9CA8-90570A537993}">
    <text xml:space="preserve">"Coding of each meta-analysis was done by two raters, and disagreements between raters were resolved through discussion. Inter-rater reliability was reported as κ = .92 for type of health outcome and κ = .83 for meta-analysis quality"​ </text>
  </threadedComment>
  <threadedComment ref="BJ48" dT="2025-01-23T11:00:39.50" personId="{63BE2683-CD05-475F-A892-6A6250E8BECC}" id="{A2B3C6D0-F2DF-459D-8EEC-EAA4E6F29205}">
    <text xml:space="preserve">"The remaining meta-analyses were evaluated to identify papers that were reliant upon the same or similar samples"​ </text>
  </threadedComment>
  <threadedComment ref="BN48" dT="2025-01-23T11:05:25.98" personId="{63BE2683-CD05-475F-A892-6A6250E8BECC}" id="{447B33DD-4B7A-4908-9F8C-743FC95E67EC}">
    <text xml:space="preserve">"The methodological quality of included meta-analyses was coded using five criteria outlined in previous work"​ </text>
  </threadedComment>
  <threadedComment ref="BQ48" dT="2025-01-23T11:06:19.05" personId="{63BE2683-CD05-475F-A892-6A6250E8BECC}" id="{F6E78839-EE92-4971-975B-EF3BB3915356}">
    <text xml:space="preserve">"These five criteria were coded dichotomously (1 = criteria met, 0 = criteria not met) and summed to create an index of methodological quality"​ </text>
  </threadedComment>
  <threadedComment ref="BR48" dT="2025-01-23T11:07:01.89" personId="{63BE2683-CD05-475F-A892-6A6250E8BECC}" id="{59B94D23-1C96-4EB2-AA0B-0782F72E763D}">
    <text xml:space="preserve">"A nonsignificant linear trend was obtained such that higher quality meta-analyses produced somewhat larger effect sizes than lower quality meta-analyses"​ </text>
  </threadedComment>
  <threadedComment ref="BT48" dT="2025-02-06T22:49:43.94" personId="{4DA524E8-3868-F444-A020-D0F395DBFD3A}" id="{C5404FEB-1DCA-E243-A366-F59FBE1CE585}">
    <text>"Past research found that unweighted averages in meta-analysis tend to perform as well or better in predicting population effects than averages that weight by study sample size or other criteria (see Bonett, 2009; Krizan, 2010; Shuster, 2010).”</text>
  </threadedComment>
  <threadedComment ref="CB48" dT="2025-01-23T11:17:58.93" personId="{63BE2683-CD05-475F-A892-6A6250E8BECC}" id="{9DB1DD80-D9A2-4919-AC0E-DB9752594E77}">
    <text xml:space="preserve">"Personality–health relations were somewhat larger when effect sizes were adjusted versus unadjusted for measurement unreliability"​ </text>
  </threadedComment>
  <threadedComment ref="CD48" dT="2025-01-23T11:40:55.50" personId="{63BE2683-CD05-475F-A892-6A6250E8BECC}" id="{1C93BE6B-8BBE-4AE7-8492-D926C058EBFE}">
    <text xml:space="preserve">"When meta-analyses reported effect sizes indexing the relation between Big Five traits and multiple health outcomes, these effects were averaged before entering them into the final model"​.
This means that multiple outcomes from the same meta-analysis were combined into a single effect size to ensure each meta-analysis contributed one effect size. </text>
  </threadedComment>
  <threadedComment ref="CR48" dT="2025-01-23T14:07:29.77" personId="{63BE2683-CD05-475F-A892-6A6250E8BECC}" id="{49E00593-9E53-4D6D-83FD-59743B6E4953}">
    <text xml:space="preserve">"A series of moderation tests was conducted to identify the conditions under which personality–health relations are most pronounced"​ </text>
  </threadedComment>
  <threadedComment ref="CS48" dT="2025-01-23T14:08:41.82" personId="{63BE2683-CD05-475F-A892-6A6250E8BECC}" id="{3F8C1840-03C7-4AD3-BF94-979DA84DB82F}">
    <text xml:space="preserve">"Personality–health relations were relatively strong when examining mental health outcomes, relatively weak when examining physical health outcomes, and intermediate when examining health behaviors"​ </text>
  </threadedComment>
  <threadedComment ref="DA48" dT="2025-01-23T12:01:48.01" personId="{63BE2683-CD05-475F-A892-6A6250E8BECC}" id="{93A303FA-CA4E-43CF-BE49-0953BB7C3945}">
    <text>Figure 2</text>
  </threadedComment>
  <threadedComment ref="DE48" dT="2025-01-23T14:10:31.21" personId="{63BE2683-CD05-475F-A892-6A6250E8BECC}" id="{6B15D66A-5996-4CCE-B5F6-680FD15D03F3}">
    <text>Table 2</text>
  </threadedComment>
  <threadedComment ref="DF48" dT="2025-01-23T14:11:05.58" personId="{63BE2683-CD05-475F-A892-6A6250E8BECC}" id="{590987D1-799F-41B8-9801-2B605C2EB74E}">
    <text>Table 3</text>
  </threadedComment>
  <threadedComment ref="DG48" dT="2025-01-23T14:11:33.50" personId="{63BE2683-CD05-475F-A892-6A6250E8BECC}" id="{8FEB244F-E982-4C32-A49F-92FF948154C3}">
    <text>Table 3</text>
  </threadedComment>
  <threadedComment ref="M49" dT="2024-10-24T14:06:48.86" personId="{63BE2683-CD05-475F-A892-6A6250E8BECC}" id="{D2C90AA5-0B60-1848-89A6-8D5961FFC29C}">
    <text>merge</text>
  </threadedComment>
  <threadedComment ref="U49" dT="2024-10-24T14:06:48.86" personId="{63BE2683-CD05-475F-A892-6A6250E8BECC}" id="{8A7BBC96-EC57-463C-999E-9FEFAE3FF82F}">
    <text>merge</text>
  </threadedComment>
  <threadedComment ref="AB51" dT="2024-11-08T11:31:44.00" personId="{63BE2683-CD05-475F-A892-6A6250E8BECC}" id="{3830F465-4D13-534A-B873-3B9E1AAFAE2C}">
    <text>Found this by going into eisendal (2015), since the paper is built on this:
”We built our data set by referring to the meta-analytic data set used by Eisend (2015). This data set contains 176 meta-analyses in marketing research that provide 1,841 meta-analytic effect sizes. ”</text>
  </threadedComment>
  <threadedComment ref="AW51" dT="2024-11-08T12:17:52.39" personId="{63BE2683-CD05-475F-A892-6A6250E8BECC}" id="{9C73E963-7E58-C24C-B8BF-E033730B3AEB}">
    <text xml:space="preserve">"Since most of the meta-analyses in marketing used the correlation coefficient as the effect size, the correlation coefficient was chosen as the meta-analytic effect size in our study as well..."​ </text>
  </threadedComment>
  <threadedComment ref="BJ51" dT="2024-11-08T12:28:56.37" personId="{63BE2683-CD05-475F-A892-6A6250E8BECC}" id="{AD7FF26A-DB56-384F-9E9E-F16A223EE3EF}">
    <text>“The comparison of our meta-meta-analysis with the meta-analysis by Aguinis et al. (2011) in Table 5 indicates partial overlaps in the selection of judgment calls and their effects. However, the nonoverlapping judgment call variables do not imply that these judgment calls have not been made.”</text>
  </threadedComment>
  <threadedComment ref="BQ51" dT="2024-11-08T14:42:05.40" personId="{63BE2683-CD05-475F-A892-6A6250E8BECC}" id="{94CAEAC0-0F7C-5E46-A669-50232F802A8C}">
    <text xml:space="preserve">"Table 2 provides an overview of judgment calls that occur in meta-analyses, which are the independent variables used in our analysis"​ </text>
  </threadedComment>
  <threadedComment ref="BR51" dT="2024-11-08T14:08:36.46" personId="{63BE2683-CD05-475F-A892-6A6250E8BECC}" id="{C5BB1C64-6AEE-9D4E-8098-091324FF4C58}">
    <text xml:space="preserve">"We used judgment call and non–judgment call variables as moderators to explain the variation between estimates." Quality was incorporated as moderators in a multivariate analysis​ </text>
  </threadedComment>
  <threadedComment ref="CB51" dT="2024-11-08T14:46:05.09" personId="{63BE2683-CD05-475F-A892-6A6250E8BECC}" id="{66E06712-2CDD-3649-9955-48448B986471}">
    <text xml:space="preserve">"In cases where a meta-analysis provided attenuated effect sizes only...they were kept as such because artifact correction is considered in our model to be a judgment call" </text>
  </threadedComment>
  <threadedComment ref="CD51" dT="2024-11-08T15:07:08.36" personId="{63BE2683-CD05-475F-A892-6A6250E8BECC}" id="{ECDA74C2-7B26-1247-9636-F2AE95CCB858}">
    <text xml:space="preserve">"If a meta-analysis reported subgroups of meta-analytic effect sizes rather than a single meta-analytic effect size...they were coded separately" </text>
  </threadedComment>
  <threadedComment ref="CM51" dT="2024-11-08T15:09:52.75" personId="{63BE2683-CD05-475F-A892-6A6250E8BECC}" id="{42EA30C2-3E7F-B442-8F02-9A3F89CC71E7}">
    <text xml:space="preserve">"The intraclass coefficient...indicating that almost 40% of the observed variance was between meta-analyses"​ </text>
  </threadedComment>
  <threadedComment ref="CS51" dT="2024-11-08T15:11:43.58" personId="{63BE2683-CD05-475F-A892-6A6250E8BECC}" id="{CA5583D0-5CF5-B249-ABC5-6764D1DCEE97}">
    <text>“We used a hierarchical linear model (HLM) estimation procedure with two levels”</text>
  </threadedComment>
  <threadedComment ref="DG51" dT="2024-11-08T15:17:51.31" personId="{63BE2683-CD05-475F-A892-6A6250E8BECC}" id="{382D6784-5DF1-7142-AA49-1FDB3DEEB6CD}">
    <text>Table 4</text>
  </threadedComment>
  <threadedComment ref="K52" dT="2025-01-23T18:09:31.98" personId="{63BE2683-CD05-475F-A892-6A6250E8BECC}" id="{64AC2AE4-9AAD-4C04-9383-0D0249FEE83D}">
    <text>23.january 2023 (web of science)</text>
  </threadedComment>
  <threadedComment ref="AG52" dT="2025-01-23T18:40:00.59" personId="{63BE2683-CD05-475F-A892-6A6250E8BECC}" id="{1CDC957F-BF3A-4CD7-BFA2-95895F507273}">
    <text xml:space="preserve">"First, we tried to minimize publication bias on the second-order level by searching for gray literature (i.e., theses and dissertations) in ProQuest Dissertations and Theses Global: Social Sciences."
"Furthermore, we sent out a call for unpublished studies via the Environmental Psychology Mailing List." </text>
  </threadedComment>
  <threadedComment ref="AJ52" dT="2025-01-23T18:41:40.58" personId="{63BE2683-CD05-475F-A892-6A6250E8BECC}" id="{F1AD11C0-B625-4307-80A5-F0A114DD0EEA}">
    <text>“Second, all remaining hits were blindly assessed for eligibility by two researchers using criteria 2 to 5. The interrater reliability showed strong agreement (Cohen’s Kappa = 0.996).”</text>
  </threadedComment>
  <threadedComment ref="AO52" dT="2025-01-23T18:43:48.72" personId="{63BE2683-CD05-475F-A892-6A6250E8BECC}" id="{51AC95A3-243D-4A8D-86A9-363376004C68}">
    <text xml:space="preserve">"We included meta-analyses described as examining experiments or quasi-experiments conducted in a field setting." </text>
  </threadedComment>
  <threadedComment ref="AW52" dT="2025-01-23T18:44:28.56" personId="{63BE2683-CD05-475F-A892-6A6250E8BECC}" id="{3BC60931-6BFB-490C-B6AF-4EE5D848A00C}">
    <text xml:space="preserve">"We extracted four different types of effect sizes from the included meta-analyses: Cohen’s d, Hedge’s g, Fisher’s z, and Pearson’s r." </text>
  </threadedComment>
  <threadedComment ref="BJ52" dT="2025-01-23T19:03:43.70" personId="{63BE2683-CD05-475F-A892-6A6250E8BECC}" id="{788733E1-95FE-4E69-8C12-B962FE5501A7}">
    <text xml:space="preserve">"We calculated the corrected covered area (CCA) for the entire matrix of included primary studies... The initial CCA was 4%, which can be interpreted as a slight overlap." </text>
  </threadedComment>
  <threadedComment ref="BL52" dT="2025-01-23T19:04:34.11" personId="{63BE2683-CD05-475F-A892-6A6250E8BECC}" id="{5D19346F-25D6-4AFD-B6DE-8858FE4BD89A}">
    <text xml:space="preserve">"Sequentially, we excluded meta-analyses starting with the lowest percentage of uniqueness or highest degree of overlap and recalculated the uniqueness of the remaining meta-analyses until each meta-analysis contributed more than 25% of unique primary studies." </text>
  </threadedComment>
  <threadedComment ref="BT52" dT="2025-01-23T19:11:53.56" personId="{63BE2683-CD05-475F-A892-6A6250E8BECC}" id="{F03CA265-F252-41F1-BD95-3653CECD0C38}">
    <text xml:space="preserve">"We calculated a second-order meta-analysis of bare-bones first-order meta-analyses following the approach by Schmidt and Oh (20)." (p. 8).
"Results of a random-effects meta-analysis corroborated results from the second-order meta-analysis." (p. 3).
</text>
  </threadedComment>
  <threadedComment ref="CB52" dT="2025-02-06T22:55:58.75" personId="{4DA524E8-3868-F444-A020-D0F395DBFD3A}" id="{92064A79-92A7-A24E-86DC-9F4383E2B35F}">
    <text xml:space="preserve">The ES were only adjusted for publication bias: "After adjusting for publication bias, the overall effect was reduced to 7 percentage points." 
"Results showed that the overall effect decreased from d = 0.33, 95% CI [0.32, 0.34] to d = 0.24, 95% CI [0.23, 0.25] when adjusting for publication bias." 
"Each of our attempts to correct for publication bias resulted in downward adjustments, still statistically significant overall effects: d = 0.04, 0.18, and 0.24." </text>
  </threadedComment>
  <threadedComment ref="CE52" dT="2025-01-23T19:22:20.90" personId="{63BE2683-CD05-475F-A892-6A6250E8BECC}" id="{EC45AE71-BFC3-47E7-9530-877B66B99E55}">
    <text xml:space="preserve">"We assessed publication bias by analyzing the adequately powered (&gt;0.80) studies using weighted average of the adequately powered weighted least squares (WAAP-WLS) models in JASP." (p. 9).
"First, a p-curve analysis indicated little evidence of selective reporting... Second, results for both the precision-effect test and precision-effect estimate with standard errors (PET-PEESE) indicated significant publication bias." </text>
  </threadedComment>
  <threadedComment ref="CL52" dT="2025-01-23T19:24:04.44" personId="{63BE2683-CD05-475F-A892-6A6250E8BECC}" id="{2B1D039B-D26A-4049-8FEE-22682A5FCD02}">
    <text xml:space="preserve">"The proportion of the observed variance accounted for by the second-order sampling error was approaching zero (ProportionVar &lt; 0.001), meaning that differences in effect sizes across meta-analyses cannot be explained by sampling error alone but are likely driven by moderating factors." </text>
  </threadedComment>
  <threadedComment ref="CR52" dT="2025-01-23T19:24:46.95" personId="{63BE2683-CD05-475F-A892-6A6250E8BECC}" id="{F9251AF8-CA22-48E5-A233-B33BA236194C}">
    <text xml:space="preserve">"Next, we tested the subgroup effects for a) type of intervention and b) category of proenvironmental behaviors, as an approach to explaining the systematic variance." </text>
  </threadedComment>
  <threadedComment ref="CY52" dT="2025-01-23T19:34:20.07" personId="{63BE2683-CD05-475F-A892-6A6250E8BECC}" id="{5039A56A-E9D5-4D80-A0CC-75AE83A5848B}">
    <text xml:space="preserve">"We assessed publication bias by analyzing the adequately powered (&gt;0.80) studies using weighted average of the adequately powered weighted least squares (WAAP-WLS) models in JASP." </text>
  </threadedComment>
  <threadedComment ref="DA52" dT="2025-01-23T19:39:32.49" personId="{63BE2683-CD05-475F-A892-6A6250E8BECC}" id="{D6E34FB5-3534-48E9-9ECB-027F8F27CE18}">
    <text>Figure 2</text>
  </threadedComment>
  <threadedComment ref="DB52" dT="2025-01-23T19:40:02.67" personId="{63BE2683-CD05-475F-A892-6A6250E8BECC}" id="{C96A9F42-C16F-4275-8614-33ED1395D2E5}">
    <text>Figure 2</text>
  </threadedComment>
  <threadedComment ref="DC52" dT="2025-01-23T19:40:26.31" personId="{63BE2683-CD05-475F-A892-6A6250E8BECC}" id="{80DF1976-29E4-4899-B381-252D842D19F2}">
    <text>Figure 1</text>
  </threadedComment>
  <threadedComment ref="DD52" dT="2025-01-23T19:42:28.20" personId="{63BE2683-CD05-475F-A892-6A6250E8BECC}" id="{ED78412E-A569-4465-90EF-EE3DE5DC444F}">
    <text xml:space="preserve">Supplementary </text>
  </threadedComment>
  <threadedComment ref="DE52" dT="2025-01-23T19:41:56.31" personId="{63BE2683-CD05-475F-A892-6A6250E8BECC}" id="{445EBF05-E119-4047-A384-CC5B3826DA78}">
    <text>Appendix A Table A</text>
  </threadedComment>
  <threadedComment ref="DF52" dT="2025-01-23T19:43:07.97" personId="{63BE2683-CD05-475F-A892-6A6250E8BECC}" id="{32C50BE8-1A1E-4D35-A383-1C69A8C198C3}">
    <text>Table 1</text>
  </threadedComment>
  <threadedComment ref="DT52" dT="2025-02-06T22:58:32.76" personId="{4DA524E8-3868-F444-A020-D0F395DBFD3A}" id="{E365D8FF-0A97-5948-B471-B968DB04EF4C}">
    <text xml:space="preserve">“All data and the code for the second-order meta-analysis are publicly available in the Open Science Framework (OSF)." </text>
  </threadedComment>
  <threadedComment ref="AB53" dT="2024-11-27T20:06:58.79" personId="{63BE2683-CD05-475F-A892-6A6250E8BECC}" id="{535C1C73-F9E5-40A8-AA32-6C1185AB8D8C}">
    <text xml:space="preserve">Based on appendix B. However, this only discuss 15 not 16 meta analysis.
Total Studies: 16+54+54+32+25+26+7+29+5+63+38+25+6+9+23=41216+54+54+32+25+26+7+29+5+63+38+25+6+9+23=412. </text>
  </threadedComment>
  <threadedComment ref="AC53" dT="2024-11-27T20:09:25.84" personId="{63BE2683-CD05-475F-A892-6A6250E8BECC}" id="{05C65DD9-9A54-417B-87FB-E92767A24FDA}">
    <text xml:space="preserve">Total Participants: 1,186+1,638+1,608+2,077+2,690+999+267+281+927+11,788+5,111+3,928+216+1,828+2,675=37,2191,186+1,638+1,608+2,077+2,690+999+267+281+927+11,788+5,111+3,928+216+1,828+2,675=37,219. </text>
  </threadedComment>
  <threadedComment ref="AH53" dT="2024-11-27T20:14:29.70" personId="{63BE2683-CD05-475F-A892-6A6250E8BECC}" id="{B1EA7635-0047-4ED2-9CAD-A42E36BECD31}">
    <text xml:space="preserve">"We considered only meta-analyses investigating the effects of any intervention for children and adolescents with ADHD..." </text>
  </threadedComment>
  <threadedComment ref="AI53" dT="2024-11-27T20:15:19.01" personId="{63BE2683-CD05-475F-A892-6A6250E8BECC}" id="{BB1F718B-EF1C-4EB1-80D2-0A3CA7C06A7B}">
    <text>Appendix A</text>
  </threadedComment>
  <threadedComment ref="AO53" dT="2024-11-27T20:23:52.99" personId="{63BE2683-CD05-475F-A892-6A6250E8BECC}" id="{C6D69973-F1BB-42D9-9EC9-86A31FE38A4D}">
    <text xml:space="preserve">"Meta-analyses of randomized and pseudo-randomized controlled trials, as well as meta-analyses based on between-group and within-group study designs were included." </text>
  </threadedComment>
  <threadedComment ref="AW53" dT="2024-11-27T20:26:22.72" personId="{63BE2683-CD05-475F-A892-6A6250E8BECC}" id="{E5BBBED3-5054-481B-AA5A-B7EA2B741525}">
    <text xml:space="preserve">"Meta-analyses included in further analyses provided effect sizes calculated as standardized mean difference." </text>
  </threadedComment>
  <threadedComment ref="BF53" dT="2024-11-27T20:20:47.53" personId="{63BE2683-CD05-475F-A892-6A6250E8BECC}" id="{32349917-30E1-447D-AA05-57DA8185722D}">
    <text>In the Selection of meta-analyses  This is said:"Relevant data from all remaining meta-analyses were extracted from original articles and organized in a comprehensive electronic sheet by the first authors (ST, AK) and cross-checked for accuracy. In cases of disagreement, a third rater (HC) was involved." 
However, this seem to me to be talking about coding, not screening??</text>
  </threadedComment>
  <threadedComment ref="BG53" dT="2024-11-27T20:38:32.61" personId="{63BE2683-CD05-475F-A892-6A6250E8BECC}" id="{0357AA12-66F5-458B-AB57-67018A9D9ED8}">
    <text>”calculated the intra-class correlation (ICC) between the two independent assessments using the Statistical Package for Social Science Version 20 (SPSS IBM Corp, 2011), which resulted in an ICC = 0.774 value, indicating good to excellent interrater agreement. ”</text>
  </threadedComment>
  <threadedComment ref="BL53" dT="2024-11-27T20:34:46.35" personId="{63BE2683-CD05-475F-A892-6A6250E8BECC}" id="{6DB9AAE2-90E4-49B7-898D-A4E4805F675D}">
    <text xml:space="preserve">"The CCA is a measure representing the overlap (relative coverage) of primary studies in the included meta-analyses: a CCA between 0 and 5 demonstrates slight overlap, 6 to 10 demonstrates moderate overlap, a score between 11 and 15 is considered high overlap, and &gt;15 very high overlap." </text>
  </threadedComment>
  <threadedComment ref="BN53" dT="2024-11-27T20:42:25.11" personId="{63BE2683-CD05-475F-A892-6A6250E8BECC}" id="{0DBC2E0C-ABF6-4ACA-8E45-759CE4E0FCA7}">
    <text xml:space="preserve">"The quality scores of every meta-analysis are based on the PRISMA 2009 Checklist as a 'proxy' for methodological quality assessment; they ranged from 27.5 to 49.5 with a mean quality index of 38 (SD = 5.9)." </text>
  </threadedComment>
  <threadedComment ref="BQ53" dT="2024-11-27T20:46:56.28" personId="{63BE2683-CD05-475F-A892-6A6250E8BECC}" id="{89EA7C5F-23CC-4BAC-AF12-AE02EA8CAE18}">
    <text xml:space="preserve">"The final quality score ranged between 0 and 54 and serves as a 'proxy' for meta-analytic study quality." </text>
  </threadedComment>
  <threadedComment ref="BR53" dT="2024-11-27T20:48:39.64" personId="{63BE2683-CD05-475F-A892-6A6250E8BECC}" id="{A0F25CF4-408F-4285-9B32-F0799A70FCFA}">
    <text xml:space="preserve">"We continuously examined the association between meta-analyses' study-quality ratings and mean effect sizes by conducting meta-regression analyses with random-effects models." 
AND
"We conducted sensitivity analyses by removing meta-analyses with high study overlap, as well as those with low quality scores, to examine the robustness of our findings." </text>
  </threadedComment>
  <threadedComment ref="BT53" dT="2024-11-27T21:28:46.11" personId="{63BE2683-CD05-475F-A892-6A6250E8BECC}" id="{69BBA36A-EF87-49F7-AFBB-69DA9F95C553}">
    <text xml:space="preserve">"We considered a new level of variance (second order sampling error) using the Hunter and Schmidt estimator for tau²." </text>
  </threadedComment>
  <threadedComment ref="CC53" dT="2024-11-27T21:29:20.12" personId="{63BE2683-CD05-475F-A892-6A6250E8BECC}" id="{75DE0751-7013-4129-A9AE-96396A857E03}">
    <text xml:space="preserve">“A synthesis of
meta-analytic data implies a new level of variance (second order sampling
error) that we considered in using the Hunter and Schmidt estimator
for tau2 (Schmidt &amp; Hunter, 2014; for a more detailed description
see Schmidt &amp; Oh, 2013).”
</text>
  </threadedComment>
  <threadedComment ref="CS53" dT="2024-11-27T21:25:00.93" personId="{63BE2683-CD05-475F-A892-6A6250E8BECC}" id="{4B325C55-BEE1-49CA-9ABF-35D3479FB133}">
    <text xml:space="preserve">"Meta-regression analyses were conducted with random-effects models to examine influences of study-quality ratings." </text>
  </threadedComment>
  <threadedComment ref="CW53" dT="2024-11-27T21:22:29.72" personId="{63BE2683-CD05-475F-A892-6A6250E8BECC}" id="{9BCC1255-5742-4C8C-A7B6-108FD1E9711F}">
    <text xml:space="preserve">"Meta-analyses with high overlap were first included in a general effect size estimation, and in the second step excluded for additional sensitivity analyses to examine the amount of influence on overall effects." </text>
  </threadedComment>
  <threadedComment ref="DA53" dT="2024-11-27T20:52:46.80" personId="{63BE2683-CD05-475F-A892-6A6250E8BECC}" id="{09683EFE-CCDE-4AD4-A3FE-5FE534D8D320}">
    <text>Figure 1</text>
  </threadedComment>
  <threadedComment ref="DE53" dT="2024-11-27T20:59:56.77" personId="{63BE2683-CD05-475F-A892-6A6250E8BECC}" id="{8B55DF40-A4A6-466E-B426-2416EDC742A2}">
    <text>Appendix B, however only 15 not 16 articles mentioned</text>
  </threadedComment>
  <threadedComment ref="DF53" dT="2024-11-27T21:01:57.65" personId="{63BE2683-CD05-475F-A892-6A6250E8BECC}" id="{BBE919CC-EF86-4119-BB87-C9E2E380D873}">
    <text xml:space="preserve">Appendix 1/A: eTable 3. Summary of results of pharmacological interventions AND eTable 4. Summary of results of psychological interventions
</text>
  </threadedComment>
  <threadedComment ref="DH53" dT="2024-11-27T21:03:12.37" personId="{63BE2683-CD05-475F-A892-6A6250E8BECC}" id="{12C105AF-CC50-4170-8A6F-114D33A1A58C}">
    <text xml:space="preserve">eTable 5. PRISMA quality score of included meta-analyses in Appendix 1
</text>
  </threadedComment>
  <threadedComment ref="W54" dT="2024-12-06T11:18:50.96" personId="{4DA524E8-3868-F444-A020-D0F395DBFD3A}" id="{F4244443-B8B9-FA4B-BDC4-75AE602C69BE}">
    <text>Table 1</text>
  </threadedComment>
  <threadedComment ref="X54" dT="2024-12-01T20:23:02.06" personId="{63BE2683-CD05-475F-A892-6A6250E8BECC}" id="{164FC0CB-3025-4049-A316-DE73AE65A468}">
    <text>See table 1</text>
  </threadedComment>
  <threadedComment ref="AB54" dT="2024-12-01T20:28:27.48" personId="{63BE2683-CD05-475F-A892-6A6250E8BECC}" id="{6E9B3FEA-3F2A-40EC-BE82-60041F8563E1}">
    <text xml:space="preserve"> Since each study only get to report 1 effect
"In cases where multiple lab and/or field effects were reported for the same meta-analysis, we computed a single lab effect size and a single field effect size by taking the average of the reported correlations (Fisher’s z-transformed) across the relevant effect sizes." 
</text>
  </threadedComment>
  <threadedComment ref="AC54" dT="2024-12-06T15:09:56.93" personId="{4DA524E8-3868-F444-A020-D0F395DBFD3A}" id="{9702E421-95D7-4046-8C62-8C68C130EECA}">
    <text>1005549 participants in field studies and 404851 participants in lab studies, summing up to 1410400 participants​</text>
  </threadedComment>
  <threadedComment ref="AG54" dT="2024-12-01T20:36:00.78" personId="{63BE2683-CD05-475F-A892-6A6250E8BECC}" id="{D1DE2E32-B9A6-42D6-B3DE-3E2B809B2989}">
    <text xml:space="preserve">"This included meta-analytic data from four dissertations." </text>
  </threadedComment>
  <threadedComment ref="AO54" dT="2024-12-01T20:52:28.98" personId="{63BE2683-CD05-475F-A892-6A6250E8BECC}" id="{AD3E2C4D-2F5F-4DD6-AAB0-05723C411FF4}">
    <text xml:space="preserve">Lab studies were typically experimental in nature: : "Examples of experimentally manipulated predictors include: team training (versus a control condition; Salas, Diaz Granados, Klein, Burke, Stagl, Goodwin, &amp; Halpin, 2008) and variations of stimuli demographics (e.g. age; Gordon &amp; Arvey, 2004)".
Field studies relied heavily on correlational research:"Examples of correlational relationships include: the effects of self-reported intrinsic motivation on innovation (Hammond, Neff, Farr, Schwall, &amp; Zhao, 2011), and the effects of reported team cohesion on performance (Castano, Watts, &amp; Tekleab, 2013)"​ </text>
  </threadedComment>
  <threadedComment ref="AW54" dT="2024-12-01T20:44:07.91" personId="{63BE2683-CD05-475F-A892-6A6250E8BECC}" id="{71BB9EE9-ECBA-43C3-A4D2-77B81DE2CA73}">
    <text xml:space="preserve">"We present our results as meta-analytic correlation coefficients (r). When first-order meta-analyses used an alternative effect size estimate, typically a form of standardized mean difference, we transformed these estimates into rs." </text>
  </threadedComment>
  <threadedComment ref="BF54" dT="2024-12-01T20:44:49.55" personId="{63BE2683-CD05-475F-A892-6A6250E8BECC}" id="{F80D6A1E-4937-4A08-B911-F573F83192F7}">
    <text xml:space="preserve">"Data partitioning... First-order meta-analyses also provided multiple lab and/or field estimates... a single integrated lab and/or field r was computed for each relationship."
This process suggests collaboration among multiple coders but does not explicitly mention inter-rater reliability values​ </text>
  </threadedComment>
  <threadedComment ref="BS54" dT="2024-12-01T21:55:31.87" personId="{63BE2683-CD05-475F-A892-6A6250E8BECC}" id="{F96D1847-EE70-4FF2-8F6D-54B273DDB5B1}">
    <text xml:space="preserve">"We present our results as meta-analytic correlation coefficients (r). When first-order meta-analyses used an alternative effect size estimate, typically a form of standardized mean difference, we transformed these estimates into rs." 
"We computed the sample-size weighted mean r across meta-analytic lab and field effect sizes, as well as the standard deviation of the observed correlation (SDr) in order to establish separate mean effects in lab and field settings." 
"When first-order meta-analyses provided separate lab and field effect sizes, ks, and the total N (but not separate ns), we calculated the mean n for the first-order meta-analysis multiplied by lab and field ks, separately, to estimate sample sizes." </text>
  </threadedComment>
  <threadedComment ref="BT54" dT="2024-12-01T21:05:19.40" personId="{63BE2683-CD05-475F-A892-6A6250E8BECC}" id="{377B6BDB-A6C8-4B2E-8CCA-A1BC327662F4}">
    <text xml:space="preserve">"Our use of WLS regression... deviates from Anderson et al.’s (1999) and Mitchell’s (2012) ordinary least squares (OLS) regression approach" </text>
  </threadedComment>
  <threadedComment ref="CB54" dT="2024-12-01T21:04:49.09" personId="{63BE2683-CD05-475F-A892-6A6250E8BECC}" id="{DC856A3E-BF2F-4B88-801E-80544B56ECF9}">
    <text xml:space="preserve">The authors specifically retained uncorrected meta-analytic estimates to reflect real-world differences between lab and field studies. 
"Consequently, the present analyses are based on uncorrected meta-analytic estimates" </text>
  </threadedComment>
  <threadedComment ref="CD54" dT="2024-12-01T21:56:38.72" personId="{63BE2683-CD05-475F-A892-6A6250E8BECC}" id="{84F2AFB8-0712-4F4E-97FF-1E198F052BE8}">
    <text xml:space="preserve">"First-order meta-analyses also provided multiple lab (e.g., among undergraduate and graduate samples) and/or field (e.g., among leaders and non-leaders) estimates of the same relationship. However, there were too few of these instances...to conduct any meaningful analyses...Thus, a single integrated lab and/or field r was computed for each relationship." </text>
  </threadedComment>
  <threadedComment ref="CM54" dT="2024-12-01T21:02:50.49" personId="{63BE2683-CD05-475F-A892-6A6250E8BECC}" id="{129A8375-5AE5-4B46-8A59-4D2B531C0865}">
    <text xml:space="preserve">indirectly. They calculated standard deviations (SDr) of observed correlations to understand variability in effect sizes. </text>
  </threadedComment>
  <threadedComment ref="CS54" dT="2024-12-01T21:59:11.16" personId="{63BE2683-CD05-475F-A892-6A6250E8BECC}" id="{3A6EAF86-3BFB-4912-B4B7-AC1034A2869A}">
    <text xml:space="preserve">"We assessed lab–field effect size correspondence with regard to both magnitude and rank-order. First, we hypothesised the difference in lab-field effect size magnitudes to be greater among relationships in which experimental manipulations, as opposed to correlational designs, were used in the lab (Hypothesis 3a)."
"Regression results are presented in Table 3. Raw results do not support Hypothesis 3b, as lab effects based on experimental designs actually accounted for more variance in field effects (77%) than did lab effects based on correlational designs (65%)."
</text>
  </threadedComment>
  <threadedComment ref="DD54" dT="2024-12-01T21:14:11.44" personId="{63BE2683-CD05-475F-A892-6A6250E8BECC}" id="{1C6DA0D5-F996-4077-BECA-C614DFD15079}">
    <text xml:space="preserve">"We present a scatterplot of lab-based rs regressed onto field-based rs, which highlights the general trend of greater effect size correspondence when attitudinal outcomes are employed"​ </text>
  </threadedComment>
  <threadedComment ref="DE54" dT="2024-12-01T21:14:36.01" personId="{63BE2683-CD05-475F-A892-6A6250E8BECC}" id="{9C23906E-1ECC-48B2-B8A0-BB94E8E626DF}">
    <text>Table 1</text>
  </threadedComment>
  <threadedComment ref="DG54" dT="2024-12-01T21:18:59.52" personId="{63BE2683-CD05-475F-A892-6A6250E8BECC}" id="{FDB05D8C-22D0-4F5A-831D-425C094D21E3}">
    <text>Table 2</text>
  </threadedComment>
  <threadedComment ref="E55" dT="2024-10-10T08:58:53.66" personId="{63BE2683-CD05-475F-A892-6A6250E8BECC}" id="{88F672B7-7EEB-48DB-97C9-8E6ADB030F1A}">
    <text>2023?</text>
  </threadedComment>
  <threadedComment ref="AE55" dT="2025-01-03T11:58:05.39" personId="{63BE2683-CD05-475F-A892-6A6250E8BECC}" id="{82F8705B-BCE6-476D-9954-F611E5ED0D12}">
    <text>They state: ”Considering the countries of origin of the meta-analytical studies, the United States (31%), Brazil (26%), India (6.7%), and China (6.7%) had more papers published on this topic.”</text>
  </threadedComment>
  <threadedComment ref="AF55" dT="2025-01-09T12:22:52.63" personId="{4DA524E8-3868-F444-A020-D0F395DBFD3A}" id="{98F7552A-92EC-C64A-A979-85527413992D}">
    <text xml:space="preserve">Matos (2011) is written in Portuguese.
</text>
  </threadedComment>
  <threadedComment ref="AG55" dT="2025-01-03T11:59:06.66" personId="{63BE2683-CD05-475F-A892-6A6250E8BECC}" id="{1B59DE47-EF39-4268-9B30-C252F24EC4FD}">
    <text>”We published a call for meta-analysis published papers on main marketing LISTSERV and we have contacted the main meta-analysis research groups around the world asking for unpublished or just-accepted studies ”</text>
  </threadedComment>
  <threadedComment ref="AO55" dT="2025-01-03T12:16:38.20" personId="{63BE2683-CD05-475F-A892-6A6250E8BECC}" id="{8B80F231-4C6F-4D38-956C-1E42A7BE9CF5}">
    <text xml:space="preserve">The paper likely includes cross-sectional and longitudinal studies because these are the standard designs for analyzing constructs like satisfaction, trust, and loyalty in customer behavior research. This aligns with the large dataset and typical practices in meta-analyses. However, the paper does not explicitly state the study designs. </text>
  </threadedComment>
  <threadedComment ref="AW55" dT="2025-01-03T12:10:15.27" personId="{63BE2683-CD05-475F-A892-6A6250E8BECC}" id="{C7E5420F-01AB-4EF6-9634-7E01A573D3B6}">
    <text xml:space="preserve">"We transformed the effect-sizes into Pearson product–moment correlation coefficient, r-Pearson, according to common computation methods described in the literature. </text>
  </threadedComment>
  <threadedComment ref="BF55" dT="2025-01-03T12:03:04.91" personId="{63BE2683-CD05-475F-A892-6A6250E8BECC}" id="{038B971C-4208-45B6-A2A1-255C58D64614}">
    <text xml:space="preserve">"Two research assistants independently coded each meta-analysis and we achieve the inter-rater reliability Cohen's kappa = 0.91 (McHugh, 2012). An experienced researcher resolved discrepancies and disagreements resulted from the coding strategy."​ </text>
  </threadedComment>
  <threadedComment ref="CB55" dT="2025-01-03T12:54:37.12" personId="{63BE2683-CD05-475F-A892-6A6250E8BECC}" id="{3A89C19C-AD7D-4E7A-8319-932C83DCCDF9}">
    <text xml:space="preserve">"We reported an overall mean ρ = as effect size of second-order effect sizes and calculated ρ = on the basis of the r-Pearson corrected for reliability."​ </text>
  </threadedComment>
  <threadedComment ref="CC55" dT="2025-01-09T16:21:17.15" personId="{4DA524E8-3868-F444-A020-D0F395DBFD3A}" id="{71E4496A-5722-364A-8844-F79D5341803D}">
    <text>Table 2</text>
  </threadedComment>
  <threadedComment ref="CD55" dT="2025-01-09T16:21:08.38" personId="{4DA524E8-3868-F444-A020-D0F395DBFD3A}" id="{8DD2A863-0CD1-D74B-985C-43B783C380E0}">
    <text xml:space="preserve">"All effect sizes are used as inputs for the structural equation model to build the pooled correlation matrix." 
"We used MASEM to evaluate multiple frameworks and establish the superiority of one type of process or mechanism over another." </text>
  </threadedComment>
  <threadedComment ref="CR55" dT="2025-01-03T12:24:55.28" personId="{63BE2683-CD05-475F-A892-6A6250E8BECC}" id="{EEDC4EA3-0D78-4141-BB8B-784527DA9812}">
    <text>“First, we performed a meta-regression for continuous (publications years, H-index) and dummy variables. Then, we performed subgroup analysis through Fisher-z test (Fisher, 1925) and Zou's (2007) confidence interval (sample type: 1 = Consumer vs. 0 = Others; Context type: 1 = Service vs. 0 =- Others). Table 4 summarises the results.”</text>
  </threadedComment>
  <threadedComment ref="CX55" dT="2025-01-03T12:22:39.88" personId="{63BE2683-CD05-475F-A892-6A6250E8BECC}" id="{0AAA4DEB-F154-47A0-800A-47FA34B2800B}">
    <text xml:space="preserve">"We additionally perform two mediation analyses between satisfaction and loyalty. The results support the serial mediation role of trust and commitment through WoM and purchase intention." </text>
  </threadedComment>
  <threadedComment ref="DF55" dT="2025-01-03T12:32:32.52" personId="{63BE2683-CD05-475F-A892-6A6250E8BECC}" id="{E1D44ECA-9429-4E56-94E7-19775B2C1F67}">
    <text>Table 2</text>
  </threadedComment>
  <threadedComment ref="DL55" dT="2025-01-03T12:35:53.79" personId="{63BE2683-CD05-475F-A892-6A6250E8BECC}" id="{6CBB9F89-4054-4A60-9624-F6FB72073664}">
    <text xml:space="preserve">In the start they mention: "Second-order meta-analysis tests different models and is a methodological technique for improving generalization because of the combination of the plethora of findings."​ </text>
  </threadedComment>
  <threadedComment ref="DT55" dT="2025-01-03T12:32:48.08" personId="{63BE2683-CD05-475F-A892-6A6250E8BECC}" id="{182CA39E-8247-4C07-94BA-D5D2C9C76A1B}">
    <text>Osf has a R script</text>
  </threadedComment>
  <threadedComment ref="DU55" dT="2025-01-03T12:33:35.46" personId="{63BE2683-CD05-475F-A892-6A6250E8BECC}" id="{19D5D8D2-7B40-4C30-AB41-96051666ADFB}">
    <text>Osf .xlsx file</text>
  </threadedComment>
  <threadedComment ref="AG56" dT="2024-12-15T12:00:29.27" personId="{63BE2683-CD05-475F-A892-6A6250E8BECC}" id="{30720D77-9C8C-4A8A-BFC8-664B9251AE1C}">
    <text xml:space="preserve">"As we included only published studies because of poor availability of unpublished studies (e.g., dissertations), a bias certainly exists and has to be considered in the interpretation of the results." </text>
  </threadedComment>
  <threadedComment ref="AH56" dT="2024-12-15T12:00:53.09" personId="{63BE2683-CD05-475F-A892-6A6250E8BECC}" id="{09C4F5F2-B74E-4077-A73E-72281C423886}">
    <text xml:space="preserve">"We included meta-analyses that measured the efficacy of parent-based interventions for infants, toddlers, preschool- and school-aged children with externalizing behavior problems." </text>
  </threadedComment>
  <threadedComment ref="AI56" dT="2024-12-15T12:02:13.35" personId="{63BE2683-CD05-475F-A892-6A6250E8BECC}" id="{A94054F3-B6CB-4DB3-8FFB-054F3F8E15E5}">
    <text>appendix</text>
  </threadedComment>
  <threadedComment ref="AJ56" dT="2024-12-15T12:04:14.88" personId="{63BE2683-CD05-475F-A892-6A6250E8BECC}" id="{8E94C109-B284-4C5E-94A2-C653C0836441}">
    <text>“Eligibility assessment was performed by two reviewers (LW, TM). Disagreements between reviewers were resolved by consensus.”</text>
  </threadedComment>
  <threadedComment ref="AO56" dT="2024-12-15T12:06:14.07" personId="{63BE2683-CD05-475F-A892-6A6250E8BECC}" id="{B5D0DB9A-BD9A-499C-816C-1B0853DAF2CE}">
    <text xml:space="preserve">"As meta-analyses included randomized controlled trials (RCT) as well as uncontrolled trials, effects were calculated as comparisons of intervention and control groups as well as within pre-post effects." </text>
  </threadedComment>
  <threadedComment ref="AW56" dT="2024-12-15T12:06:33.17" personId="{63BE2683-CD05-475F-A892-6A6250E8BECC}" id="{AD99BE68-2176-4C51-B7ED-EE3CB1F302AD}">
    <text xml:space="preserve">"The effect estimates of each meta-analysis were transformed to standardized mean differences (SMD)." </text>
  </threadedComment>
  <threadedComment ref="BF56" dT="2024-12-15T12:07:24.38" personId="{63BE2683-CD05-475F-A892-6A6250E8BECC}" id="{749D9D7F-C84B-4D14-8DC4-5B7234349868}">
    <text xml:space="preserve">"The extracted data was checked by two reviewers (LW, TM). Disagreements were resolved by discussion between the two authors." </text>
  </threadedComment>
  <threadedComment ref="BG56" dT="2024-12-15T12:07:33.41" personId="{63BE2683-CD05-475F-A892-6A6250E8BECC}" id="{DAA4E126-0B15-4827-82EF-711F87D2BB89}">
    <text xml:space="preserve">"To ascertain inter-rater reliability, the intraclass correlation coefficient (ICC) was estimated for total scores." </text>
  </threadedComment>
  <threadedComment ref="BJ56" dT="2024-12-15T12:09:02.52" personId="{63BE2683-CD05-475F-A892-6A6250E8BECC}" id="{DCFABD91-7449-4252-AB53-813F2EB549B4}">
    <text xml:space="preserve">"According to Munder et al. [30], overlap of primary outcome studies might lead to a distortion of results. We thus took overlap of primary outcome studies into account." </text>
  </threadedComment>
  <threadedComment ref="BL56" dT="2024-12-15T12:09:35.51" personId="{63BE2683-CD05-475F-A892-6A6250E8BECC}" id="{2C319438-7E21-4A34-99F1-B5B619CA2A8B}">
    <text xml:space="preserve">"When a primary study was included in multiple meta-analyses, an adjusted value for this primary study was calculated to contribute only once to the meta–meta-analysis. This was done by determining the number of meta-analyses in which each primary study was included. The inverse of this number was considered as the uniqueness of this study." </text>
  </threadedComment>
  <threadedComment ref="BQ56" dT="2024-12-15T12:12:34.08" personId="{63BE2683-CD05-475F-A892-6A6250E8BECC}" id="{3E719B46-BDFD-485F-95EB-D27CBF7DBA9C}">
    <text xml:space="preserve">"Each item was rated on a 3-point Likert scale ... A quality index for each meta-analysis was built by the mean of the total scores of both raters." </text>
  </threadedComment>
  <threadedComment ref="BR56" dT="2024-12-15T12:13:36.50" personId="{63BE2683-CD05-475F-A892-6A6250E8BECC}" id="{F5AE8D69-D5B7-463C-9792-D88398CC2D30}">
    <text xml:space="preserve">"The mean quality index was 37.46 (SD 7.45)... Overall, the quality of included meta-analyses can be viewed as satisfactory." </text>
  </threadedComment>
  <threadedComment ref="CB56" dT="2024-12-15T12:15:34.09" personId="{63BE2683-CD05-475F-A892-6A6250E8BECC}" id="{3DB2D8A4-0BBF-487D-8A1A-80F3CF885310}">
    <text xml:space="preserve">"Effect estimates were transformed to standardized mean differences (SMD) and corrected for primary study overlap." </text>
  </threadedComment>
  <threadedComment ref="CD56" dT="2024-12-15T12:16:14.46" personId="{63BE2683-CD05-475F-A892-6A6250E8BECC}" id="{1C7F59F2-78CC-4EB2-9898-D1E5BF79C233}">
    <text xml:space="preserve">"If a meta-analysis provided multiple effect sizes for one outcome, estimates were aggregated into a single effect size." </text>
  </threadedComment>
  <threadedComment ref="CF56" dT="2024-12-15T12:17:42.39" personId="{63BE2683-CD05-475F-A892-6A6250E8BECC}" id="{D1D90AB2-C851-4E8A-BBCA-F703C008E5FF}">
    <text xml:space="preserve">"We conducted a visual inspection of a funnel plot displaying all included studies ... In accordance with Orwin [41], we calculated Fail-Safe N for each outcome category to control for publication bias." </text>
  </threadedComment>
  <threadedComment ref="CL56" dT="2024-12-15T12:19:13.84" personId="{63BE2683-CD05-475F-A892-6A6250E8BECC}" id="{4080E478-C89B-490C-AD98-BC51FF7DC432}">
    <text xml:space="preserve">"We assessed heterogeneity using the Q test and I2 statistics." </text>
  </threadedComment>
  <threadedComment ref="CR56" dT="2024-12-15T12:18:41.03" personId="{63BE2683-CD05-475F-A892-6A6250E8BECC}" id="{80F1AD0A-4655-4F58-9B06-875F67B858B2}">
    <text xml:space="preserve">"Further subgroup or sensitivity analyses were not conducted due to the small number of included studies and lack of information." </text>
  </threadedComment>
  <threadedComment ref="DE56" dT="2024-12-15T12:24:38.09" personId="{63BE2683-CD05-475F-A892-6A6250E8BECC}" id="{BA7ED3BB-A053-46FE-8425-108BFAF8ECBC}">
    <text xml:space="preserve">Characteristics of the included studies are presented in Online Appendix (Table 1). </text>
  </threadedComment>
  <threadedComment ref="DF56" dT="2024-12-15T12:25:05.44" personId="{63BE2683-CD05-475F-A892-6A6250E8BECC}" id="{6E3FA31A-7C03-4FB5-9AD7-22F5E14B5B41}">
    <text xml:space="preserve">"Results are presented separately for each parental characteristic and are divided into post-intervention and follow-up outcomes (see Tables S4 and S5 in the Supplementary Material)." </text>
  </threadedComment>
  <threadedComment ref="DP56" dT="2024-12-15T12:26:30.27" personId="{63BE2683-CD05-475F-A892-6A6250E8BECC}" id="{771F95B6-D3AE-4BBD-9F59-749F5B181A7C}">
    <text xml:space="preserve">"The meta–meta-analysis is registered in PROSPERO, Registration number CRD42016036486." </text>
  </threadedComment>
  <threadedComment ref="AE57" dT="2025-01-06T11:12:26.66" personId="{63BE2683-CD05-475F-A892-6A6250E8BECC}" id="{FB97DF3A-108B-4056-92AE-137851E054B1}">
    <text>"To qualify for inclusion, a record had to... be published, in the English language... “</text>
  </threadedComment>
  <threadedComment ref="AN57" dT="2025-01-06T11:42:40.65" personId="{63BE2683-CD05-475F-A892-6A6250E8BECC}" id="{6BA85A68-FDB8-44F4-B313-01279C17208E}">
    <text>Supplementary “A record had to meet four criteria to be included in our final database. Specifically, it had to be (a) a meta-analysis (i.e., primary studies excluded), (b) published (i.e., unpublished theses, dissertations, and conference papers excluded), (c) in the English language, (d) that reported the 3 zero-order relation of C to at least one work relevant variable “</text>
  </threadedComment>
  <threadedComment ref="AW57" dT="2025-01-06T11:45:03.60" personId="{63BE2683-CD05-475F-A892-6A6250E8BECC}" id="{E16412CE-8E47-4FD0-8A47-D85007C9F959}">
    <text xml:space="preserve">"We systematically extracted relevant descriptive statistics from qualifying meta-analyses, including... the mean sample-size weighted observed effect size (e.g., r, d, or z), and an index of between-studies variability." </text>
  </threadedComment>
  <threadedComment ref="BF57" dT="2025-01-06T11:37:10.65" personId="{63BE2683-CD05-475F-A892-6A6250E8BECC}" id="{68AAB07B-96EF-4AD4-9549-FAAD10BC50BE}">
    <text xml:space="preserve">Supplementary: "The two authors each coded 51 meta-analyses... Both authors also coded 10 meta-analyses." </text>
  </threadedComment>
  <threadedComment ref="BJ57" dT="2025-02-06T23:31:13.54" personId="{4DA524E8-3868-F444-A020-D0F395DBFD3A}" id="{05EF436E-7042-2540-BF94-7C91D9B26E4A}">
    <text>“To determine if these meta-analyses had overlapping constituent studies, we scrutinized their Methods and Reference sections.“</text>
  </threadedComment>
  <threadedComment ref="BL57" dT="2025-01-06T11:59:48.48" personId="{63BE2683-CD05-475F-A892-6A6250E8BECC}" id="{68D55081-B6BA-44DC-8EC3-ADEBC5AB6DE3}">
    <text xml:space="preserve">"Meta-analyses that were explicitly updates of prior reviews, or had overlapping primary studies, were marked accordingly." </text>
  </threadedComment>
  <threadedComment ref="BT57" dT="2025-01-06T12:10:23.55" personId="{63BE2683-CD05-475F-A892-6A6250E8BECC}" id="{A775E6D3-B394-45FC-B8BF-2D1978E8994C}">
    <text xml:space="preserve">"Procedures from Hunter and Schmidt’s (13) psychometric meta-analysis were used to update estimates from meta-analyses included in our review using a common set of statistical corrections." </text>
  </threadedComment>
  <threadedComment ref="CB57" dT="2025-01-06T12:09:32.52" personId="{63BE2683-CD05-475F-A892-6A6250E8BECC}" id="{42C1C05E-61E0-487A-A340-438C3C17D0A4}">
    <text xml:space="preserve">"The observed correlation was also corrected for attenuation due to measurement error." </text>
  </threadedComment>
  <threadedComment ref="CC57" dT="2025-01-06T12:15:13.10" personId="{63BE2683-CD05-475F-A892-6A6250E8BECC}" id="{759CAFE8-D185-4A72-A5C8-30343DE60E9F}">
    <text xml:space="preserve">"For variables reporting multiple, independent effects, effects were combined using second-order meta-analysis." </text>
  </threadedComment>
  <threadedComment ref="CD57" dT="2025-01-06T12:15:33.06" personId="{63BE2683-CD05-475F-A892-6A6250E8BECC}" id="{EB2B296E-2601-44B4-97F4-4B6D4B04933F}">
    <text xml:space="preserve">"Second-order meta-analysis uses basic descriptive statistics (i.e., k, N, r, and SDr) and mean population correlations (ρ) from two or more first-order meta-analyses." </text>
  </threadedComment>
  <threadedComment ref="CE57" dT="2025-01-06T12:21:58.76" personId="{63BE2683-CD05-475F-A892-6A6250E8BECC}" id="{888BB855-1B51-4C80-8D79-E760D38C28D0}">
    <text xml:space="preserve">The authors did not directly conduct publication bias analyses themselves. Instead, they summarized and evaluated how contributing meta-analyses addressed publication bias.
"We undertook an evaluation of post hoc and preventive approaches used in addressing publication bias in C meta-analyses qualifying for inclusion in our review."
</text>
  </threadedComment>
  <threadedComment ref="CL57" dT="2025-01-06T12:19:42.59" personId="{63BE2683-CD05-475F-A892-6A6250E8BECC}" id="{514B020D-CB34-43F2-80B7-9FD9FA20E491}">
    <text xml:space="preserve">"We systematically extracted... an index of between-studies variability." </text>
  </threadedComment>
  <threadedComment ref="CM57" dT="2025-01-06T12:20:24.61" personId="{63BE2683-CD05-475F-A892-6A6250E8BECC}" id="{1C44986E-8976-474F-97E3-7A22015381C8}">
    <text xml:space="preserve">"For meta-analyses reporting confidence intervals or credibility intervals around observed effects (i.e., r), we converted values to standard deviation units." </text>
  </threadedComment>
  <threadedComment ref="CR57" dT="2025-01-06T12:26:35.91" personId="{63BE2683-CD05-475F-A892-6A6250E8BECC}" id="{9F8673F1-33BA-4B18-AB9E-A874FDA299B7}">
    <text xml:space="preserve">The authors only summarized moderator analyses conducted in the included meta-analyses and did not conduct new, independent moderator analyses. </text>
  </threadedComment>
  <threadedComment ref="CW57" dT="2025-01-06T12:07:49.74" personId="{63BE2683-CD05-475F-A892-6A6250E8BECC}" id="{5A624193-088F-4398-ACB1-69276E298CE7}">
    <text>Table S19 in supplementary</text>
  </threadedComment>
  <threadedComment ref="DC57" dT="2025-01-06T12:44:42.84" personId="{63BE2683-CD05-475F-A892-6A6250E8BECC}" id="{DAC54D8A-F700-4E00-9FF3-598C0685EF27}">
    <text>Figure 2 and Figure 1</text>
  </threadedComment>
  <threadedComment ref="DE57" dT="2025-01-06T12:47:45.86" personId="{63BE2683-CD05-475F-A892-6A6250E8BECC}" id="{B8F09402-1ACC-48D0-889B-71A63AA00577}">
    <text>Tab s1</text>
  </threadedComment>
  <threadedComment ref="DF57" dT="2025-01-06T12:49:36.91" personId="{63BE2683-CD05-475F-A892-6A6250E8BECC}" id="{6CE763F9-B9B3-468C-B78E-09D72E6561CF}">
    <text>Table S10-15 (supp)</text>
  </threadedComment>
  <threadedComment ref="DG57" dT="2025-02-06T23:51:37.01" personId="{4DA524E8-3868-F444-A020-D0F395DBFD3A}" id="{D2766271-146E-164E-93F6-95DAF89932FD}">
    <text>Table S9</text>
  </threadedComment>
  <threadedComment ref="DJ57" dT="2025-01-06T12:38:30.51" personId="{63BE2683-CD05-475F-A892-6A6250E8BECC}" id="{709F1C1E-69AE-41E2-AF80-779B80E3298E}">
    <text xml:space="preserve">No, not in the paper, but discussed in the supplementary
"We undertook an evaluation of post hoc and preventive approaches used in addressing publication bias in C meta-analyses qualifying for inclusion in our review." </text>
  </threadedComment>
  <threadedComment ref="DK57" dT="2025-01-06T12:37:29.66" personId="{63BE2683-CD05-475F-A892-6A6250E8BECC}" id="{979DC151-86C3-49ED-B2B8-4ABB8FDF8603}">
    <text xml:space="preserve">"The publication of the seminal book, 'Publication Bias in Meta-Analysis: Prevention, Assessment, and Adjustments,' gave meta-analysts a key resource to deal with publication bias... due to the surging interest and participation in unbiased and open science." </text>
  </threadedComment>
  <threadedComment ref="AE58" dT="2025-01-06T13:24:21.43" personId="{63BE2683-CD05-475F-A892-6A6250E8BECC}" id="{9E8031EC-7777-4F6E-8DA9-30529769C643}">
    <text>“both of which limited records to the English language only “</text>
  </threadedComment>
  <threadedComment ref="AG58" dT="2025-01-06T13:24:50.05" personId="{63BE2683-CD05-475F-A892-6A6250E8BECC}" id="{DCEB8929-D7B4-459F-93A8-A68AC59F786C}">
    <text xml:space="preserve">“... published (i.e., unpublished theses, dissertations, and conference papers excluded). </text>
  </threadedComment>
  <threadedComment ref="AO58" dT="2025-01-06T13:35:07.63" personId="{63BE2683-CD05-475F-A892-6A6250E8BECC}" id="{639E2D3D-927A-44E9-8CA5-559D48F244DF}">
    <text>While the paper does not explicitly mention experimental designs such as Randomized Controlled Trials (RCTs), the focus on "consequential external variables" and "general adult populations" suggests a reliance on observational studies. 
“The goal of our study was to examine relations of Agreeableness and its lower order traits to consequential external variables that would permit inferences to the general adult population.”​
This indicates that the included studies were broad and representative, likely observational</text>
  </threadedComment>
  <threadedComment ref="AW58" dT="2025-01-06T13:38:16.62" personId="{63BE2683-CD05-475F-A892-6A6250E8BECC}" id="{47743B0A-28DC-4777-BEC3-03C051ED2512}">
    <text xml:space="preserve">“We systematically extracted descriptive information… including its mean sample-size-weighted observed effect size (e.g., r,d, or zr,d, or z).”​ and “Thus, we estimated the mean population correlation (i.e., ρρ) and its standard deviation (i.e., SDρ). Both rr and ρρ are parameter estimates—the latter is corrected for statistical artifacts, but the former is not.” </text>
  </threadedComment>
  <threadedComment ref="BJ58" dT="2025-01-06T13:41:10.03" personId="{63BE2683-CD05-475F-A892-6A6250E8BECC}" id="{2B0B6D10-293D-4AF8-9FC7-E7F01A382B29}">
    <text xml:space="preserve">“To determine whether these meta-analyses contained non-overlapping primary studies, we examined their Methods and References sections.”​ </text>
  </threadedComment>
  <threadedComment ref="BT58" dT="2025-01-06T13:49:59.72" personId="{63BE2683-CD05-475F-A892-6A6250E8BECC}" id="{CFFE0803-E7F2-4E50-A87A-9DDA4817ECD3}">
    <text xml:space="preserve">“We used procedures from psychometric meta-analysis (Hunter &amp; Schmidt, 2014) to update estimates from meta-analyses included in our review with a common set of statistical corrections.” 
“Second-order meta-analysis extends psychometric meta-analysis by enabling the cumulation of independent meta-analytic estimates, which helps refine population parameter estimates and accounts for second-order sampling error.”​ </text>
  </threadedComment>
  <threadedComment ref="CB58" dT="2025-01-06T13:54:05.92" personId="{63BE2683-CD05-475F-A892-6A6250E8BECC}" id="{027F1A0C-F061-4802-BA0E-725A23DF9151}">
    <text xml:space="preserve">The authors corrected for statistical artifacts, such as measurement error and sampling variance, to provide more accurate population-level estimates. 
“Thus, we estimated the mean population correlation (i.e., ρρ) and its standard deviation (i.e., SDρ). Both rr and ρρ are parameter estimates—the latter is corrected for statistical artifacts, but the former is not.”​ </text>
  </threadedComment>
  <threadedComment ref="CD58" dT="2025-01-06T13:55:46.20" personId="{63BE2683-CD05-475F-A892-6A6250E8BECC}" id="{A3F82B5B-D5F6-4C10-9861-2E3C51F215FF}">
    <text xml:space="preserve">“For variables with multiple effects, we used the effect from the newer or more comprehensive meta-analysis. Variables with effects from multiple independent meta-analyses were combined via second-order meta-analysis.”​ </text>
  </threadedComment>
  <threadedComment ref="CE58" dT="2025-02-06T23:46:45.57" personId="{4DA524E8-3868-F444-A020-D0F395DBFD3A}" id="{4991E3AA-38A7-9A43-A967-F49323FC0D0F}">
    <text>The authors seem to have conducted publication biases checks themselves, but only “coded for traditional (e.g., failsafe N), as well as advanced methods of assessing bias (e.g., funnel plots, cumulative meta-analysis, Egger’s test of the intercept, Begg and Mazumdar’s rank correlation test, and the precision-effect test and precision-effect estimate with standard errors [PET-PEESE]). “</text>
  </threadedComment>
  <threadedComment ref="CL58" dT="2025-01-06T14:00:17.00" personId="{63BE2683-CD05-475F-A892-6A6250E8BECC}" id="{2E52702E-4240-4EFC-AD0E-84D114BE7187}">
    <text xml:space="preserve">“We subtracted variance that was attributable to sampling and measurement error from the observed variance; likewise, we corrected the observed correlation for measurement error.” 
“Finally, we calculated confidence and credibility intervals around parameters. Credibility intervals (CR) are based on the mean corrected variance between meta-analyses (i.e., SDρ); estimates with 80% intervals that exclude zero are typically interpreted as generalizing across contexts.”​ 
</text>
  </threadedComment>
  <threadedComment ref="DA58" dT="2025-01-06T14:04:11.58" personId="{63BE2683-CD05-475F-A892-6A6250E8BECC}" id="{0F1B2FD3-4E77-4561-9DF5-3B44470C95C3}">
    <text>Figure 2</text>
  </threadedComment>
  <threadedComment ref="DE58" dT="2025-02-06T23:48:13.83" personId="{4DA524E8-3868-F444-A020-D0F395DBFD3A}" id="{1A1DAF22-6858-5249-9921-11C0368BC716}">
    <text xml:space="preserve">Table S26 in the online supplemental material.
</text>
  </threadedComment>
  <threadedComment ref="DJ58" dT="2025-02-06T23:52:05.07" personId="{4DA524E8-3868-F444-A020-D0F395DBFD3A}" id="{D6315F0B-ECDA-DB4C-9E40-7D8A171B655A}">
    <text>Not in intro or discussion.</text>
  </threadedComment>
  <threadedComment ref="DM58" dT="2025-01-06T10:34:40.06" personId="{63BE2683-CD05-475F-A892-6A6250E8BECC}" id="{6C69677B-AD99-4292-9299-E16F1EEEF2DC}">
    <text>”most publications on principal leadership effects were still from Anglo-American societies (Gumus et al., 2018). On the other hand, the context refers to the background of the school, such as school location and student body composition. However, this information was usually not reported, and the effect of principal leadership was rarely examined with respect to school background, and thus it is not possible for meta-analysis to compare the principalship effect, for example, in urban schools vs. in rural schools, and in low-poverty schools vs. in high-poverty schools. Given the potential moderating impact of school location on the relationship between principal leadership and student achievement (Tan, 2018; Wu, Gao, et al., 2020; Wu, Shen et al., 2020), it is essential that future studies pay more attention to the context of the study (Tanner-Smith &amp; Tipton, 2014; Karadag, ˘ 2015; 2020). Knowing which of the current set of leadership strategies works best in different situations and how different cultures and contexts influence principal leadership effects would inform educational policy and practice. ”</text>
  </threadedComment>
  <threadedComment ref="AB59" dT="2024-11-27T22:14:37.68" personId="{63BE2683-CD05-475F-A892-6A6250E8BECC}" id="{CE3AE806-9D00-4FE4-83B4-A8710F6F9E1C}">
    <text xml:space="preserve">The tables in the paper present the number of primary studies and participants divided into groups. However, it is unclear whether there is any overlap between these groups or to what extent such overlap may occur. </text>
  </threadedComment>
  <threadedComment ref="AO59" dT="2024-11-27T22:34:08.48" personId="{63BE2683-CD05-475F-A892-6A6250E8BECC}" id="{9F9165FC-B774-43D5-AD21-EE01D8BF4B49}">
    <text xml:space="preserve">The paper does not explicitly specify the study designs </text>
  </threadedComment>
  <threadedComment ref="BF59" dT="2024-11-27T22:25:43.76" personId="{63BE2683-CD05-475F-A892-6A6250E8BECC}" id="{455021A7-DCC2-4F57-BA1D-F2CE71149631}">
    <text xml:space="preserve">"A doctoral student with training in personality and meta-analysis extracted basic descriptive information. The first author compared extracted data to the published articles and made corrections as needed"​ </text>
  </threadedComment>
  <threadedComment ref="BJ59" dT="2024-11-27T22:41:35.05" personId="{63BE2683-CD05-475F-A892-6A6250E8BECC}" id="{A42BE2B6-84A2-4D96-A16A-C2CF70F91AB3}">
    <text xml:space="preserve">"To determine if these meta-analyses shared overlapping constituent studies, we scrutinized their Method and Reference sections. Meta-analyses that were explicitly updates of prior reviews, or had overlapping primary studies, were marked accordingly, but meta-analyses with evidence of nonredundancy were duly noted"​ </text>
  </threadedComment>
  <threadedComment ref="BM59" dT="2024-11-27T22:51:50.38" personId="{63BE2683-CD05-475F-A892-6A6250E8BECC}" id="{D6C9EBA6-BC52-456A-AFCE-4C0EE404C0BB}">
    <text xml:space="preserve">The authors did not systematically exclude or adjust for study overlap using methods like a uniqueness factor or statistical adjustment. Instead, they flagged overlaps during their review of the included meta-analyses. </text>
  </threadedComment>
  <threadedComment ref="BT59" dT="2024-11-27T22:46:34.96" personId="{63BE2683-CD05-475F-A892-6A6250E8BECC}" id="{5B7FAC7C-6F8D-4906-A76B-1BF820B825DA}">
    <text xml:space="preserve">“Procedures from Hunter and Schmidt’s (2014) psychometric meta-analysis were used to update estimates from meta-analyses included in our review using a common set of statistical corrections"​ </text>
  </threadedComment>
  <threadedComment ref="CL59" dT="2024-11-27T22:53:23.50" personId="{63BE2683-CD05-475F-A892-6A6250E8BECC}" id="{F2C3E73F-0A38-4CC3-A93B-71B7A3B28B76}">
    <text xml:space="preserve">"To correct for measurement error, frequency-weighted artifact distributions were developed from data in their source meta-analysis or from other sources in the literature...Confidence intervals (CI) estimate the boundaries in which the observed correlation is expected to fall based on the standard error of between-study effects. In contrast, credibility intervals (CR) estimate the between-studies heterogeneity in population effects"​ </text>
  </threadedComment>
  <threadedComment ref="CR59" dT="2024-11-27T22:56:29.91" personId="{63BE2683-CD05-475F-A892-6A6250E8BECC}" id="{A868C322-B4F7-4C52-ACAC-1E2B0F830190}">
    <text xml:space="preserve">The authors did not conduct formal statistical moderator analyses. However, they organized their findings descriptively into conceptual categories and career domains, which may resemble a framework for examining potential moderators. This organizational approach was not statistically tested as moderation. 
"We then organize effects within a framework of four career domains—education, job application, on the job, and career/lifespan—and five conceptual categories: motivations, values, and interests; attitudes and well-being; interpersonal; performance; and counterproductivity"​ 
</text>
  </threadedComment>
  <threadedComment ref="DF59" dT="2024-11-28T13:40:37.25" personId="{63BE2683-CD05-475F-A892-6A6250E8BECC}" id="{1AA1D340-7BF4-41B3-A9BB-21F695ECEE87}">
    <text xml:space="preserve">Table S4: "Second-Order Meta-Analyses of Extraversion and Education Variables."
Table S5: "Second-Order Meta-Analyses of Extraversion and Job Application Variables."
Table S6: "Second-Order Meta-Analyses of Extraversion and On the Job Variables."
</text>
  </threadedComment>
  <threadedComment ref="DF59" dT="2024-11-29T14:27:53.22" personId="{4DA524E8-3868-F444-A020-D0F395DBFD3A}" id="{DDF40B4D-B04B-1F4F-ADDD-D848D4B70990}" parentId="{1AA1D340-7BF4-41B3-A9BB-21F695ECEE87}">
    <text>Not sure, if they only repeat the meta-meta-analytic findings from others instead of making their own SOMA.</text>
  </threadedComment>
  <threadedComment ref="AB60" dT="2025-02-07T00:00:28.23" personId="{4DA524E8-3868-F444-A020-D0F395DBFD3A}" id="{807CD37E-3E5F-E24C-A9EC-89A99A2ACB33}">
    <text>Here, we took the more conservative estimate of "On average, each meta-analysis included about 34 empirical studies"​ - 34x 12 = 408
Alternatively, table 1 has a column N of studies, which we could sum up to reach a total of 543 included studies.</text>
  </threadedComment>
  <threadedComment ref="AD60" dT="2025-01-03T13:24:58.89" personId="{63BE2683-CD05-475F-A892-6A6250E8BECC}" id="{AA6D635A-C0FB-4F9B-848D-4C8F8A3A5C30}">
    <text>”K-12 school and student samples”</text>
  </threadedComment>
  <threadedComment ref="AE60" dT="2025-01-03T13:27:29.74" personId="{63BE2683-CD05-475F-A892-6A6250E8BECC}" id="{22CA1597-B3ED-447B-94BD-A56E01F5EC8D}">
    <text>“Publications included had to be written in English"</text>
  </threadedComment>
  <threadedComment ref="AG60" dT="2025-01-03T13:29:22.07" personId="{63BE2683-CD05-475F-A892-6A6250E8BECC}" id="{5A3CF298-939A-426B-9528-D8906A84CD0C}">
    <text xml:space="preserve">"Although two meta-analyses were found in the gray literature (one is a report and the other is a book chapter), large majorities of meta-analyses (83%) were published in peer-reviewed journals"​ </text>
  </threadedComment>
  <threadedComment ref="AO60" dT="2025-01-03T14:05:10.52" personId="{63BE2683-CD05-475F-A892-6A6250E8BECC}" id="{BE0C5E65-8826-4055-8190-5899AF569151}">
    <text>"The included meta-analyses in our study were almost entirely based on observational studies”
”we contend that a future meta-analysis on those studies would shed more light on possible causal relationships than cross-sectional studies. ”</text>
  </threadedComment>
  <threadedComment ref="AW60" dT="2025-01-03T14:02:00.56" personId="{63BE2683-CD05-475F-A892-6A6250E8BECC}" id="{9DA9A4D0-0092-48A6-9A76-10C109D9939B}">
    <text xml:space="preserve">"The effect size index used in this meta-meta-analysis was Cohen’s d" </text>
  </threadedComment>
  <threadedComment ref="BJ60" dT="2025-02-07T00:03:31.19" personId="{4DA524E8-3868-F444-A020-D0F395DBFD3A}" id="{3F5B24C8-78C5-164A-BEC4-9F91D3915674}">
    <text xml:space="preserve">They discuss overlap, but do not calculate it themselves.
"We understand that some meta-analyses may include the same primary studies, a phenomenon that causes an overlap issue and could bias the results of a meta-meta-analysis. There appears to be no clear guidance available to handle such an issue"​ </text>
  </threadedComment>
  <threadedComment ref="CD60" dT="2025-01-06T09:31:59.64" personId="{63BE2683-CD05-475F-A892-6A6250E8BECC}" id="{CC9A8279-E5F8-4EA6-827C-23A20AC12F1F}">
    <text xml:space="preserve">"Multivariate random-effects meta-analysis... is a hierarchical model to handle dependent effect size estimates nested within studies" </text>
  </threadedComment>
  <threadedComment ref="CM60" dT="2025-01-05T10:08:33.57" personId="{63BE2683-CD05-475F-A892-6A6250E8BECC}" id="{3865991A-973B-42BA-90EC-3599B3057975}">
    <text>“The multivariate homogeneity test (Becker, 1992; Jackson et al., 2011) for the effect sizes indicates statistically significant between-studies heterogeneity, Q (17) = 273.04, p &lt; .001. The variances of the true effect sizes are ω2 = 0.0302 within study and τ2 = 0.0534 between study.”</text>
  </threadedComment>
  <threadedComment ref="CX60" dT="2025-01-03T12:22:39.88" personId="{63BE2683-CD05-475F-A892-6A6250E8BECC}" id="{15A42149-8BA2-4FAD-8813-F1A9F5C474E9}">
    <text xml:space="preserve">"We additionally perform two mediation analyses between satisfaction and loyalty. The results support the serial mediation role of trust and commitment through WoM and purchase intention." </text>
  </threadedComment>
  <threadedComment ref="CZ60" dT="2025-01-05T09:25:14.13" personId="{63BE2683-CD05-475F-A892-6A6250E8BECC}" id="{A799BB96-15AB-4C3B-BAB1-5E01A5BE39EF}">
    <text>“The R package metafor (Viechtbauer, 2010) was used to conduct multivariate random-effects models, and clubSandwich (Pustejovsky, 2020a) was used to implement robust variance estimation. “</text>
  </threadedComment>
  <threadedComment ref="DE60" dT="2025-01-05T10:14:57.63" personId="{63BE2683-CD05-475F-A892-6A6250E8BECC}" id="{FA743F14-1ACC-42D3-BF69-5D97DBA633C8}">
    <text>Table 1</text>
  </threadedComment>
  <threadedComment ref="DH60" dT="2025-02-07T00:12:35.24" personId="{4DA524E8-3868-F444-A020-D0F395DBFD3A}" id="{79FDAEA1-D94D-BC4F-812F-724B0744ADC9}">
    <text>Table 2</text>
  </threadedComment>
  <threadedComment ref="DL60" dT="2025-01-03T12:35:53.79" personId="{63BE2683-CD05-475F-A892-6A6250E8BECC}" id="{987FC041-750D-4BD7-9FA8-4E9CE5C6459B}">
    <text xml:space="preserve">In the start they mention: "Second-order meta-analysis tests different models and is a methodological technique for improving generalization because of the combination of the plethora of findings."​ </text>
  </threadedComment>
  <threadedComment ref="DM60" dT="2025-01-06T10:34:40.06" personId="{63BE2683-CD05-475F-A892-6A6250E8BECC}" id="{34C6606C-9DAA-4490-BF22-6424BFD5E6F2}">
    <text>”most publications on principal leadership effects were still from Anglo-American societies (Gumus et al., 2018). On the other hand, the context refers to the background of the school, such as school location and student body composition. However, this information was usually not reported, and the effect of principal leadership was rarely examined with respect to school background, and thus it is not possible for meta-analysis to compare the principalship effect, for example, in urban schools vs. in rural schools, and in low-poverty schools vs. in high-poverty schools. Given the potential moderating impact of school location on the relationship between principal leadership and student achievement (Tan, 2018; Wu, Gao, et al., 2020; Wu, Shen et al., 2020), it is essential that future studies pay more attention to the context of the study (Tanner-Smith &amp; Tipton, 2014; Karadag, ˘ 2015; 2020). Knowing which of the current set of leadership strategies works best in different situations and how different cultures and contexts influence principal leadership effects would inform educational policy and practice. ”</text>
  </threadedComment>
  <threadedComment ref="W61" dT="2025-01-16T20:30:34.66" personId="{63BE2683-CD05-475F-A892-6A6250E8BECC}" id="{C950C19A-7F28-4B6E-9899-A81FD6B63FAF}">
    <text>Table 4</text>
  </threadedComment>
  <threadedComment ref="AB61" dT="2025-01-16T20:35:20.00" personId="{63BE2683-CD05-475F-A892-6A6250E8BECC}" id="{89BEBFC3-A024-4CAC-91FC-70D815859198}">
    <text>Table 1 and 2:
8 + 10 + 17 + 17 + 9 + 19 + 9 + 12 + 13+ 17 = 131</text>
  </threadedComment>
  <threadedComment ref="AC61" dT="2025-01-16T20:38:27.36" personId="{63BE2683-CD05-475F-A892-6A6250E8BECC}" id="{32A5AA03-3941-44CA-B178-4A2A1E14A5D3}">
    <text>Tables 1 and 2, the total number of participants across all included studies can be calculated by summing the sample sizes for the experimental group (EG) and control group (CG), sheet 3 in this doc)</text>
  </threadedComment>
  <threadedComment ref="AJ61" dT="2025-01-16T20:42:26.58" personId="{63BE2683-CD05-475F-A892-6A6250E8BECC}" id="{9D0C869D-A93E-4E75-B710-394308B65005}">
    <text xml:space="preserve">"Two researchers independently screened articles by title, abstract, and full text" </text>
  </threadedComment>
  <threadedComment ref="AK61" dT="2025-01-16T20:45:18.56" personId="{63BE2683-CD05-475F-A892-6A6250E8BECC}" id="{8B9B1409-0DA9-4E2E-BE55-CCBCC139489F}">
    <text>”Before reaching a consensus, differences between the 2 researchers were discussed. If no agreement was reached, a third researcher made the final decision after a group discussion.”</text>
  </threadedComment>
  <threadedComment ref="AO61" dT="2025-01-16T20:47:49.66" personId="{63BE2683-CD05-475F-A892-6A6250E8BECC}" id="{9DF52175-3441-43F3-B76E-2546225D587F}">
    <text xml:space="preserve">"The included meta-analyses had to be randomized controlled trials" </text>
  </threadedComment>
  <threadedComment ref="AW61" dT="2025-01-16T20:47:13.38" personId="{63BE2683-CD05-475F-A892-6A6250E8BECC}" id="{214E6DD0-C6E9-418C-A405-9B40025D2A0E}">
    <text xml:space="preserve">"The effect size of each meta-analysis was converted into a standardized mean difference (SMD) to obtain the overall effect size" </text>
  </threadedComment>
  <threadedComment ref="BF61" dT="2025-01-16T20:45:45.89" personId="{63BE2683-CD05-475F-A892-6A6250E8BECC}" id="{4ECF9608-4D24-4271-89BD-4D64BA490A9C}">
    <text xml:space="preserve">"The methodological quality was evaluated by two researchers who independently coded using an 11-item multisystem evaluation tool" </text>
  </threadedComment>
  <threadedComment ref="BG61" dT="2025-01-16T20:46:27.12" personId="{63BE2683-CD05-475F-A892-6A6250E8BECC}" id="{3F91359E-8A07-4DFB-B02A-0B084B1651DE}">
    <text xml:space="preserve">"The reliability of the quality evaluation was high (ICC=0.96, 95% CI 0.93-0.98, P&lt;.001)" </text>
  </threadedComment>
  <threadedComment ref="BJ61" dT="2025-01-16T20:51:10.24" personId="{63BE2683-CD05-475F-A892-6A6250E8BECC}" id="{BA1B78C1-2DFE-4C5A-ABC9-83D4387E142C}">
    <text xml:space="preserve">"Considering that the overlap of research in a meta-meta-analysis may lead to distortion of the results, this study took the overlap of main results into account and corrected for the overlap of initial studies" </text>
  </threadedComment>
  <threadedComment ref="BL61" dT="2025-01-16T20:52:51.51" personId="{63BE2683-CD05-475F-A892-6A6250E8BECC}" id="{DAB4B45C-F195-44A0-A7CD-9D87A7CA31EF}">
    <text xml:space="preserve">"When an experimental study was included in multiple meta-analysis studies, it only contributed to this meta-meta-analysis. This was mainly completed by determining the number of meta-analyses of each significant study. For each meta-meta-analysis, the uniqueness of each included meta-analysis was added to set the adjusted research number: kadj" </text>
  </threadedComment>
  <threadedComment ref="BN61" dT="2025-01-16T20:53:34.88" personId="{63BE2683-CD05-475F-A892-6A6250E8BECC}" id="{E3D82598-1CF4-4F46-8A53-510B6F1F4817}">
    <text xml:space="preserve">"The methodological quality was evaluated by two researchers who independently coded using an 11-item multisystem evaluation tool" </text>
  </threadedComment>
  <threadedComment ref="BQ61" dT="2025-01-16T20:56:15.01" personId="{63BE2683-CD05-475F-A892-6A6250E8BECC}" id="{723075FB-9B61-4DAD-A224-494143D40FDE}">
    <text xml:space="preserve">"The total score of each meta-analysis was the sum of the 11 items, and the quality evaluation was set as low quality (0-4), medium quality (5-8), or high quality (9-11)" </text>
  </threadedComment>
  <threadedComment ref="BR61" dT="2025-01-16T20:56:49.74" personId="{63BE2683-CD05-475F-A892-6A6250E8BECC}" id="{157239D1-FF1B-4E4D-B7F1-C77ACD024D98}">
    <text xml:space="preserve">"The meta-analyses assessed as low quality were excluded" </text>
  </threadedComment>
  <threadedComment ref="CD61" dT="2025-01-16T20:58:23.92" personId="{63BE2683-CD05-475F-A892-6A6250E8BECC}" id="{5CAFF6C7-B482-4D21-9EBE-6244E23F20A0}">
    <text xml:space="preserve">"Only one effect size was extracted for each meta-analysis" </text>
  </threadedComment>
  <threadedComment ref="CE61" dT="2025-01-16T20:59:35.63" personId="{63BE2683-CD05-475F-A892-6A6250E8BECC}" id="{1AFB5B47-8C3D-4100-A597-8EBD7D2EAC65}">
    <text xml:space="preserve">"Since there were less than 10 meta-analysis articles for each result in this study, no funnel plot was generated, and the Egger test was used to evaluate the publication bias" </text>
  </threadedComment>
  <threadedComment ref="CL61" dT="2025-01-16T21:01:30.39" personId="{63BE2683-CD05-475F-A892-6A6250E8BECC}" id="{EDD53067-970E-4302-B1FB-100EBB2B0AD9}">
    <text xml:space="preserve">"The weighted estimation of heterogeneity in all of the meta-analyses was quantified as I²" 
"Heterogeneity is... the percentage of total variation among studies, with 25%, 50%, and 75% representing low, medium, and high, respectively" 
</text>
  </threadedComment>
  <threadedComment ref="CR61" dT="2025-01-16T21:01:59.06" personId="{63BE2683-CD05-475F-A892-6A6250E8BECC}" id="{A3414097-A692-4986-B199-ABC91C73277F}">
    <text xml:space="preserve">"Because of the small number of included studies, further subgroup analysis and sensitivity analysis were not conducted in this study" </text>
  </threadedComment>
  <threadedComment ref="DA61" dT="2025-01-16T21:03:50.81" personId="{63BE2683-CD05-475F-A892-6A6250E8BECC}" id="{F9241458-7C56-49BE-BEBE-FC93D0A1B2B6}">
    <text>Figure 1</text>
  </threadedComment>
  <threadedComment ref="DC61" dT="2025-01-16T21:04:21.09" personId="{63BE2683-CD05-475F-A892-6A6250E8BECC}" id="{C694C162-4BC3-49BC-A9F8-965FDCC49C18}">
    <text>Figure 2 and Figure 3</text>
  </threadedComment>
  <threadedComment ref="DE61" dT="2025-01-16T21:05:21.80" personId="{63BE2683-CD05-475F-A892-6A6250E8BECC}" id="{254C0D18-D945-49B5-9703-D64389BE7128}">
    <text>Table 1-3</text>
  </threadedComment>
  <threadedComment ref="DF61" dT="2025-01-16T21:07:04.38" personId="{63BE2683-CD05-475F-A892-6A6250E8BECC}" id="{F281DC4A-D6A9-4701-9C4E-8256DA006818}">
    <text>Table 1-3</text>
  </threadedComment>
  <threadedComment ref="DH61" dT="2025-01-16T21:06:11.77" personId="{63BE2683-CD05-475F-A892-6A6250E8BECC}" id="{0DC74CF8-9387-4CAA-A4A6-84B0F6AED04E}">
    <text>Table 4</text>
  </threadedComment>
  <threadedComment ref="CS62" dT="2024-10-24T21:21:30.67" personId="{63BE2683-CD05-475F-A892-6A6250E8BECC}" id="{0C598717-9A5A-4115-96D6-2C9A0E2A053A}">
    <text xml:space="preserve">Meta-regression was used to test whether methodological quality also moderated this relationship. </text>
  </threadedComment>
  <threadedComment ref="DE62" dT="2024-10-24T21:26:00.72" personId="{63BE2683-CD05-475F-A892-6A6250E8BECC}" id="{199EDB47-0A39-4498-B127-9CEB8ECA13EC}">
    <text>Table 2</text>
  </threadedComment>
  <threadedComment ref="DF62" dT="2024-11-13T14:29:44.44" personId="{4DA524E8-3868-F444-A020-D0F395DBFD3A}" id="{416937B8-4294-DB49-BFBF-F6398AE3B112}">
    <text xml:space="preserve">Table 5
</text>
  </threadedComment>
  <threadedComment ref="AE63" dT="2024-12-10T10:46:35.45" personId="{63BE2683-CD05-475F-A892-6A6250E8BECC}" id="{6BF2AF7E-F7F3-4088-BDED-94F00011D056}">
    <text>Table A.1</text>
  </threadedComment>
  <threadedComment ref="AG63" dT="2024-12-10T10:48:41.68" personId="{63BE2683-CD05-475F-A892-6A6250E8BECC}" id="{E35A7048-AF13-4BD0-8311-73F022F94C73}">
    <text>Table A.3</text>
  </threadedComment>
  <threadedComment ref="AW63" dT="2024-12-10T10:58:39.41" personId="{63BE2683-CD05-475F-A892-6A6250E8BECC}" id="{8722F112-4F49-435D-BFA3-2F61CED694B4}">
    <text xml:space="preserve">"The majority of the meta-analyses included in this second-order meta-analysis calculated the overall effect size using Hedges' g, while a few studies utilized Cohen's d"​ </text>
  </threadedComment>
  <threadedComment ref="BJ63" dT="2024-12-10T11:07:00.44" personId="{63BE2683-CD05-475F-A892-6A6250E8BECC}" id="{F291679E-F168-485D-A091-9C93481C89C2}">
    <text xml:space="preserve">"To examine the independence of samples between the included first-order meta-analysis, the independent studies identified in each first-order meta-analysis were placed in Microsoft Excel, and the overlap between studies was examined manually and confirmed digitally" </text>
  </threadedComment>
  <threadedComment ref="BQ63" dT="2024-12-10T11:09:06.75" personId="{63BE2683-CD05-475F-A892-6A6250E8BECC}" id="{E4831A3E-496F-4349-A5E5-021698D4D2BF}">
    <text xml:space="preserve">"Scores for each item are based on the inclusion of the related criteria and range from 0 to 4 points. The highest possible score on the instrument is 44" </text>
  </threadedComment>
  <threadedComment ref="CB63" dT="2024-12-10T11:12:12.43" personId="{63BE2683-CD05-475F-A892-6A6250E8BECC}" id="{DAC62352-D10F-43DC-8696-A53E3D4C78AB}">
    <text xml:space="preserve">"Effect sizes were attenuated by increased study quality" </text>
  </threadedComment>
  <threadedComment ref="CC63" dT="2024-12-10T11:14:08.63" personId="{63BE2683-CD05-475F-A892-6A6250E8BECC}" id="{00A5BAC2-55D3-4E6B-B6A4-AB12E379561D}">
    <text>"Effect size data from included first-order meta-analyses were extracted... From the 19 studies, 11 first-order meta-analyses offered sufficient information to extract 240 individual effect sizes"</text>
  </threadedComment>
  <threadedComment ref="CS63" dT="2024-12-10T11:27:40.91" personId="{63BE2683-CD05-475F-A892-6A6250E8BECC}" id="{6513AE9E-6010-4CCE-BD8A-C5D43AD8D08E}">
    <text xml:space="preserve">"The mixed effects model indicates that statistically significant variation exists between studies examining different technology functions" </text>
  </threadedComment>
  <threadedComment ref="DA63" dT="2024-12-10T11:30:17.42" personId="{63BE2683-CD05-475F-A892-6A6250E8BECC}" id="{81384463-A8F3-4B89-8DA8-568DFE290046}">
    <text xml:space="preserve">Figure A.1 </text>
  </threadedComment>
  <threadedComment ref="DC63" dT="2024-12-10T11:30:31.13" personId="{63BE2683-CD05-475F-A892-6A6250E8BECC}" id="{1E96D997-E0AC-42F4-9230-46736E304DCC}">
    <text xml:space="preserve">Figure A.2 </text>
  </threadedComment>
  <threadedComment ref="DE63" dT="2024-12-10T11:32:08.76" personId="{63BE2683-CD05-475F-A892-6A6250E8BECC}" id="{180ECC70-E588-4BAD-B3B0-ADB21B1F0FD8}">
    <text>Table A.2</text>
  </threadedComment>
  <threadedComment ref="DG63" dT="2024-12-10T11:33:50.21" personId="{63BE2683-CD05-475F-A892-6A6250E8BECC}" id="{F1F2946E-CD8B-4B14-8CA9-4D107A26612F}">
    <text>Table A.3</text>
  </threadedComment>
  <threadedComment ref="DL63" dT="2024-12-10T11:37:50.95" personId="{63BE2683-CD05-475F-A892-6A6250E8BECC}" id="{767649A1-EE40-4B6C-8B33-E59840D62A6E}">
    <text xml:space="preserve">The paper implies a degree of abstraction due to the second-order meta-analysis approach: "A second-order meta-analysis allows researchers to accurately estimate the true mean effect sizes in each first-order meta-analysis" </text>
  </threadedComment>
  <threadedComment ref="K64" dT="2024-09-29T16:41:02.53" personId="{63BE2683-CD05-475F-A892-6A6250E8BECC}" id="{1347C15C-93FE-443D-BD25-B89BD18F725C}">
    <text>29 sep. 2024 (18.30)</text>
  </threadedComment>
  <threadedComment ref="AH65" dT="2024-12-14T09:32:06.93" personId="{63BE2683-CD05-475F-A892-6A6250E8BECC}" id="{EEDE24A4-45B8-4805-ABCC-71E0DB1D2F32}">
    <text xml:space="preserve">"First-order meta-analyses relevant for inclusion in our second-order meta-analysis were initially identified through a search of various publication databases..." </text>
  </threadedComment>
  <threadedComment ref="AN65" dT="2024-12-14T10:40:01.17" personId="{63BE2683-CD05-475F-A892-6A6250E8BECC}" id="{B6F5D54C-9597-4976-957D-641A29DC94AD}">
    <text xml:space="preserve">"A published first-order meta-analysis was deemed eligible for inclusion if (1) it explored the effect of the inclusion of a label that provided information on the healthiness or unhealthiness of the food against a control or comparison group that was not exposed to any type of nutrition label, (2) it reported results for an intervention group (label) and a control or comparison group (no label), (3) the aim of the label intervention was to either discourage consumption of unhealthy foods (an effect capturing a prevention aim) or encourage consumption of healthy foods (an effect capturing a promotion aim), and (4) it reported on consumer behavior outcomes that included either what was chosen or selected... or whether the item was consumed" </text>
  </threadedComment>
  <threadedComment ref="AO65" dT="2024-12-14T10:44:22.65" personId="{63BE2683-CD05-475F-A892-6A6250E8BECC}" id="{FE3B5365-CE14-4B24-BE79-08C4111ED917}">
    <text xml:space="preserve">"We accounted for several empirical characteristics of the first-order meta-analysis effect sizes in the data, including study type (field, lab, or mixed-design studies)" </text>
  </threadedComment>
  <threadedComment ref="BF65" dT="2024-12-14T10:47:46.42" personId="{63BE2683-CD05-475F-A892-6A6250E8BECC}" id="{F181BDB0-6920-44E2-90A5-8D20A1030149}">
    <text xml:space="preserve">"Two expert raters independently coded the intervention characteristics for each effect size included in the second-order meta-analysis" </text>
  </threadedComment>
  <threadedComment ref="BS65" dT="2024-12-14T11:10:01.66" personId="{63BE2683-CD05-475F-A892-6A6250E8BECC}" id="{EACE2468-460C-4AA7-9C71-C3DF365D6659}">
    <text xml:space="preserve">"We obtained estimates through weighted least squares estimation. These specifications lead to the following second-order meta-analysis equation for the effect of nutrition labeling on consumer behavior" .
"For the effect-size measure of our second-order meta-analysis, we computed the standardized mean difference (Cohen’s d) for the effect of nutrition labels as reported in each of the published first-order meta-analyses" </text>
  </threadedComment>
  <threadedComment ref="CB65" dT="2024-12-14T11:07:57.96" personId="{63BE2683-CD05-475F-A892-6A6250E8BECC}" id="{6ECA8035-6CC1-426D-9430-D387DD9D62FE}">
    <text xml:space="preserve">"The inclusion of the standard error term enables direct estimation of the publication bias effect, while simultaneously estimating the remaining pure effect" </text>
  </threadedComment>
  <threadedComment ref="CM65" dT="2024-12-14T11:03:32.49" personId="{63BE2683-CD05-475F-A892-6A6250E8BECC}" id="{4B40EBF4-168A-43D8-9ABE-3E11DFCBFBEA}">
    <text>"The model revealed a very small significant main effect for nutrition label interventions... albeit with a significant amount of heterogeneity (I² = 79.89%)”</text>
  </threadedComment>
  <threadedComment ref="CR65" dT="2024-12-14T11:01:20.76" personId="{63BE2683-CD05-475F-A892-6A6250E8BECC}" id="{02E0793D-FD49-440A-8E55-FB8A9D7D09D8}">
    <text xml:space="preserve">"We next conducted a subgroup analysis to examine the conditions under which the effectiveness of nutrition labels may vary depending on the aim of the intervention" </text>
  </threadedComment>
  <threadedComment ref="CS65" dT="2024-12-14T11:02:37.04" personId="{63BE2683-CD05-475F-A892-6A6250E8BECC}" id="{A6BC855B-0104-4A72-AA02-366FF53C5ED6}">
    <text xml:space="preserve">"Across these two sets of data, prevention and promotion, we then conducted a moderator analysis according to our framework" </text>
  </threadedComment>
  <threadedComment ref="DC65" dT="2024-12-14T11:19:21.84" personId="{63BE2683-CD05-475F-A892-6A6250E8BECC}" id="{9CF00F0F-43FE-4991-A6C1-4195A9647F93}">
    <text>Appendix C figure w2</text>
  </threadedComment>
</ThreadedComments>
</file>

<file path=xl/threadedComments/threadedComment2.xml><?xml version="1.0" encoding="utf-8"?>
<ThreadedComments xmlns="http://schemas.microsoft.com/office/spreadsheetml/2018/threadedcomments" xmlns:x="http://schemas.openxmlformats.org/spreadsheetml/2006/main">
  <threadedComment ref="D4" dT="2024-10-10T08:58:53.66" personId="{63BE2683-CD05-475F-A892-6A6250E8BECC}" id="{3B12C542-704F-414D-AB1A-3EF21507D19A}">
    <text>2023?</text>
  </threadedComment>
  <threadedComment ref="I4" dT="2025-01-03T12:32:48.08" personId="{63BE2683-CD05-475F-A892-6A6250E8BECC}" id="{CCE91DAA-4634-8249-854D-8C09093CE8AD}">
    <text>Osf has a R script</text>
  </threadedComment>
  <threadedComment ref="J4" dT="2025-01-03T12:33:35.46" personId="{63BE2683-CD05-475F-A892-6A6250E8BECC}" id="{04B74D4F-996A-A043-A423-19101308B5C2}">
    <text>Osf .xlsx file</text>
  </threadedComment>
  <threadedComment ref="D11" dT="2024-10-10T09:00:54.05" personId="{63BE2683-CD05-475F-A892-6A6250E8BECC}" id="{3420BB29-40AA-0F47-B373-8D937BE5A6CB}">
    <text>2024</text>
  </threadedComment>
  <threadedComment ref="E11" dT="2025-01-23T15:40:50.56" personId="{63BE2683-CD05-475F-A892-6A6250E8BECC}" id="{F55F62FF-8A55-BD49-843D-0070D8955D71}">
    <text xml:space="preserve">"We preregistered the literature search parameters, stopping rules for data collection, variables, hypotheses, and planned analyses in the Open Science Framework." </text>
  </threadedComment>
  <threadedComment ref="G11" dT="2025-01-23T15:39:31.17" personId="{63BE2683-CD05-475F-A892-6A6250E8BECC}" id="{F21ED454-9FF7-6943-935F-08C538519C22}">
    <text xml:space="preserve">"Original data, analytic code, measurement instruments, and other materials can be directly stored on open-access platforms, such as the Open Science Framework." </text>
  </threadedComment>
  <threadedComment ref="H11" dT="2025-01-23T14:31:31.22" personId="{63BE2683-CD05-475F-A892-6A6250E8BECC}" id="{E85734B6-4D52-6842-99E7-EDE5A934ED7F}">
    <text>“The Supplemental Material contains the data (S1), the codebook (S2), and the analytical code (S3), the detailed documentation of the literature database search (S5), the back-and-forth search (S6), the gray literature search (S7), the call for meta-analyses (S8), and the updated screening forms (S9).“</text>
  </threadedComment>
  <threadedComment ref="I11" dT="2025-01-23T15:38:35.19" personId="{63BE2683-CD05-475F-A892-6A6250E8BECC}" id="{27D04D98-9229-E44E-A7B2-C0C3099452D1}">
    <text xml:space="preserve">"The data set and the analytic code are stored in the Supplemental Materials S1 and S3." </text>
  </threadedComment>
  <threadedComment ref="J11" dT="2025-01-23T15:38:38.96" personId="{63BE2683-CD05-475F-A892-6A6250E8BECC}" id="{BDAB3F44-9F21-9348-BCB6-8E1149422987}">
    <text xml:space="preserve">"The data set and the analytic code are stored in the Supplemental Materials S1 and S3." </text>
  </threadedComment>
  <threadedComment ref="I12" dT="2025-02-06T22:58:32.76" personId="{4DA524E8-3868-F444-A020-D0F395DBFD3A}" id="{FBE06079-B30E-F34C-9E87-CE84F00CDDCD}">
    <text xml:space="preserve">“All data and the code for the second-order meta-analysis are publicly available in the Open Science Framework (OSF)." </text>
  </threadedComment>
  <threadedComment ref="G14" dT="2025-01-02T11:54:46.53" personId="{63BE2683-CD05-475F-A892-6A6250E8BECC}" id="{160BBE46-DBAB-AB44-B518-9D85AE512421}">
    <text>“https://oasis.col.org/items/81887d9e-7092-4deb-8cb9-19dfe2568f23“</text>
    <extLst>
      <x:ext xmlns:xltc2="http://schemas.microsoft.com/office/spreadsheetml/2020/threadedcomments2" uri="{F7C98A9C-CBB3-438F-8F68-D28B6AF4A901}">
        <xltc2:checksum>584686448</xltc2:checksum>
        <xltc2:hyperlink startIndex="1" length="64" url="https://oasis.col.org/items/81887d9e-7092-4deb-8cb9-19dfe2568f23"/>
      </x:ext>
    </extLst>
  </threadedComment>
  <threadedComment ref="E16" dT="2024-12-09T23:22:55.96" personId="{63BE2683-CD05-475F-A892-6A6250E8BECC}" id="{B83EDC99-478B-5B4A-BDA4-750A5173924D}">
    <text>"This umbrella review followed the Preferred Reporting Items for Systematic Reviews and Meta-analyses (PRISMA 2020) reporting guideline... and an a priori protocol, available on request." However, it was not formally preregistered in a repository like PROSPERO“</text>
  </threadedComment>
  <threadedComment ref="J20" dT="2024-10-23T17:58:41.99" personId="{63BE2683-CD05-475F-A892-6A6250E8BECC}" id="{EA40A865-E445-9042-8B8A-83C3D6D10DA8}">
    <text>Supplementary data</text>
  </threadedComment>
  <threadedComment ref="E22" dT="2025-01-23T21:18:01.33" personId="{63BE2683-CD05-475F-A892-6A6250E8BECC}" id="{0710E38A-6A85-8A46-80A7-2ED04DBA7019}">
    <text>"Our meta-review was prospectively registered on the Open Science Framework (https://osf.io/465ej/)”</text>
    <extLst>
      <x:ext xmlns:xltc2="http://schemas.microsoft.com/office/spreadsheetml/2020/threadedcomments2" uri="{F7C98A9C-CBB3-438F-8F68-D28B6AF4A901}">
        <xltc2:checksum>24199288</xltc2:checksum>
        <xltc2:hyperlink startIndex="77" length="21" url="https://osf.io/465ej/"/>
      </x:ext>
    </extLst>
  </threadedComment>
  <threadedComment ref="I22" dT="2025-01-23T21:16:57.34" personId="{63BE2683-CD05-475F-A892-6A6250E8BECC}" id="{0A93B769-F467-C546-AADB-3DCE32D44A6E}">
    <text xml:space="preserve">"Raw data and code for reproducing the analyses are available at https://osf.io/465ej/." </text>
    <extLst>
      <x:ext xmlns:xltc2="http://schemas.microsoft.com/office/spreadsheetml/2020/threadedcomments2" uri="{F7C98A9C-CBB3-438F-8F68-D28B6AF4A901}">
        <xltc2:checksum>1733776513</xltc2:checksum>
        <xltc2:hyperlink startIndex="65" length="21" url="https://osf.io/465ej/"/>
      </x:ext>
    </extLst>
  </threadedComment>
  <threadedComment ref="J28" dT="2025-01-02T18:42:56.64" personId="{63BE2683-CD05-475F-A892-6A6250E8BECC}" id="{D26EF923-F967-EA4A-BCBE-F665AC5E4E4C}">
    <text>Supplementary: "The data that support the findings of this study are openly available at …”</text>
  </threadedComment>
  <threadedComment ref="I30" dT="2024-12-06T09:04:19.14" personId="{4DA524E8-3868-F444-A020-D0F395DBFD3A}" id="{74485909-0CD3-5742-B143-2AF0BBC1D799}">
    <text>Online supplemental material “analysis.code.april23.R”</text>
  </threadedComment>
  <threadedComment ref="J30" dT="2024-12-01T19:30:20.84" personId="{63BE2683-CD05-475F-A892-6A6250E8BECC}" id="{4932B161-6EF7-E545-86D7-11152DBCE72F}">
    <text xml:space="preserve"> table “es_final-april23.csv” in their OSM is their dataset.
</text>
  </threadedComment>
  <threadedComment ref="E31" dT="2024-11-27T18:57:49.55" personId="{63BE2683-CD05-475F-A892-6A6250E8BECC}" id="{9D10EDBD-922F-B64C-8B78-0B8093A3E17C}">
    <text xml:space="preserve">Since: 
"We conducted this study in accordance with a study protocol we uploaded to the Open Science Framework in April 2018 (osf.io/x9g6m)."
</text>
  </threadedComment>
  <threadedComment ref="I33" dT="2024-12-01T15:54:12.67" personId="{63BE2683-CD05-475F-A892-6A6250E8BECC}" id="{C82F80B0-47AC-E64C-A92A-764D2ACC1D4E}">
    <text>"All the data, analysis scripts, and an online Appendix with supplemental analyses and results can be found on this paper’s project page on the Open Science Framework at https://osf.io/z8emy/"&amp;#8203;:contentReference[oaicite:8]{index=8}.”</text>
    <extLst>
      <x:ext xmlns:xltc2="http://schemas.microsoft.com/office/spreadsheetml/2020/threadedcomments2" uri="{F7C98A9C-CBB3-438F-8F68-D28B6AF4A901}">
        <xltc2:checksum>2993442201</xltc2:checksum>
        <xltc2:hyperlink startIndex="170" length="66" url="https://osf.io/z8emy/&quot;&amp;#8203;:contentReference[oaicite:8]{index=8}"/>
      </x:ext>
    </extLst>
  </threadedComment>
  <threadedComment ref="H34" dT="2025-01-10T13:41:37.76" personId="{63BE2683-CD05-475F-A892-6A6250E8BECC}" id="{F5E8193B-0FCF-CB44-A598-96B92DD43313}">
    <text>Supplementary 2</text>
  </threadedComment>
  <threadedComment ref="I34" dT="2025-01-10T13:39:09.55" personId="{63BE2683-CD05-475F-A892-6A6250E8BECC}" id="{8BD3E77D-990D-7046-B6C3-B6EA237B1608}">
    <text>Supplementary 5</text>
  </threadedComment>
  <threadedComment ref="J34" dT="2024-11-24T19:35:47.22" personId="{63BE2683-CD05-475F-A892-6A6250E8BECC}" id="{034649F5-FB24-D749-9B5C-842EEA0D285F}">
    <text>Supplementary 4</text>
  </threadedComment>
  <threadedComment ref="J36" dT="2025-01-14T17:10:30.59" personId="{63BE2683-CD05-475F-A892-6A6250E8BECC}" id="{219C88BA-D1B3-3A47-A6B4-4E2832F6C5FE}">
    <text xml:space="preserve">"The raw data supporting the conclusions of this manuscript will be made available by the authors, without undue reservation, to any qualified researcher"​ </text>
  </threadedComment>
  <threadedComment ref="H38" dT="2025-01-15T18:48:48.00" personId="{63BE2683-CD05-475F-A892-6A6250E8BECC}" id="{4EC06578-530D-4C48-AF91-A80D284EA386}">
    <text>Supplementary Datasheet 3 and 4</text>
  </threadedComment>
  <threadedComment ref="I38" dT="2025-01-15T18:46:59.00" personId="{63BE2683-CD05-475F-A892-6A6250E8BECC}" id="{C62EF21A-E7B2-CA4F-B347-4426A1824B18}">
    <text>Supplementary data sheet S4</text>
  </threadedComment>
  <threadedComment ref="J38" dT="2025-01-15T18:47:35.34" personId="{63BE2683-CD05-475F-A892-6A6250E8BECC}" id="{5F8117D7-45BB-7D41-9072-60B126C0898C}">
    <text>Supplementary Data sheet 2 and 3</text>
  </threadedComment>
  <threadedComment ref="E40" dT="2024-12-15T12:26:30.27" personId="{63BE2683-CD05-475F-A892-6A6250E8BECC}" id="{90AB86B6-6EF9-1B4E-A118-82EA21CE4A81}">
    <text xml:space="preserve">"The meta–meta-analysis is registered in PROSPERO, Registration number CRD42016036486." </text>
  </threadedComment>
  <threadedComment ref="E43" dT="2025-01-22T22:16:43.34" personId="{63BE2683-CD05-475F-A892-6A6250E8BECC}" id="{233A5E2B-C50B-0A4E-A1C9-DD715AC4C91E}">
    <text xml:space="preserve">"We preregistered this study on Open Science Framework on December 18, 2017, before conducting data analyses, to facilitate replication and transparency about our methods."​ </text>
  </threadedComment>
  <threadedComment ref="H43" dT="2025-01-22T22:18:45.23" personId="{63BE2683-CD05-475F-A892-6A6250E8BECC}" id="{70C2BCFC-D637-3F47-A963-0EC0753D9F8D}">
    <text>All materials are available at https:// osf.io/ujcre/ 
e.g Cultural similarities meta-synthesis proposal.pdf.</text>
  </threadedComment>
  <threadedComment ref="J43" dT="2025-01-22T22:20:29.45" personId="{63BE2683-CD05-475F-A892-6A6250E8BECC}" id="{A21BD9A0-BD68-0547-A292-034D2BABCA4A}">
    <text xml:space="preserve">Cultural Similarities - Data and analyses.xlsx </text>
  </threadedComment>
  <threadedComment ref="E45" dT="2025-01-03T09:54:47.04" personId="{63BE2683-CD05-475F-A892-6A6250E8BECC}" id="{60364CFF-6FD6-FE4F-91A4-1EA4D8ACA94B}">
    <text>"We preregistered this study“</text>
  </threadedComment>
  <threadedComment ref="H45" dT="2025-01-03T09:55:41.40" personId="{63BE2683-CD05-475F-A892-6A6250E8BECC}" id="{74D311D5-7399-A040-BE0D-D49FE8CA09AD}">
    <text xml:space="preserve">"We created a coding manual to guide coding and facilitate replication (https://osf.io/ge2u3/)." </text>
    <extLst>
      <x:ext xmlns:xltc2="http://schemas.microsoft.com/office/spreadsheetml/2020/threadedcomments2" uri="{F7C98A9C-CBB3-438F-8F68-D28B6AF4A901}">
        <xltc2:checksum>1424516452</xltc2:checksum>
        <xltc2:hyperlink startIndex="72" length="21" url="https://osf.io/ge2u3/"/>
      </x:ext>
    </extLst>
  </threadedComment>
  <threadedComment ref="I45" dT="2025-01-03T09:57:17.09" personId="{63BE2683-CD05-475F-A892-6A6250E8BECC}" id="{E54A9EEF-C09B-4B4B-A309-A53823F80453}">
    <text xml:space="preserve">"For data and syntax, see https://osf.io/49xyk/." </text>
    <extLst>
      <x:ext xmlns:xltc2="http://schemas.microsoft.com/office/spreadsheetml/2020/threadedcomments2" uri="{F7C98A9C-CBB3-438F-8F68-D28B6AF4A901}">
        <xltc2:checksum>3124090140</xltc2:checksum>
        <xltc2:hyperlink startIndex="26" length="21" url="https://osf.io/49xyk/"/>
      </x:ext>
    </extLst>
  </threadedComment>
  <threadedComment ref="D47" dT="2024-10-10T08:59:23.92" personId="{63BE2683-CD05-475F-A892-6A6250E8BECC}" id="{2285642B-94DB-BC4A-883D-95D123F82246}">
    <text>2017?</text>
  </threadedComment>
  <threadedComment ref="J62" dT="2024-11-22T11:20:08.24" personId="{4DA524E8-3868-F444-A020-D0F395DBFD3A}" id="{4C9E7C5D-44CA-F346-A2C7-6A8C237368A8}">
    <text>Table 1</text>
  </threadedComment>
</ThreadedComments>
</file>

<file path=xl/threadedComments/threadedComment3.xml><?xml version="1.0" encoding="utf-8"?>
<ThreadedComments xmlns="http://schemas.microsoft.com/office/spreadsheetml/2018/threadedcomments" xmlns:x="http://schemas.openxmlformats.org/spreadsheetml/2006/main">
  <threadedComment ref="D18" dT="2024-10-10T09:00:54.05" personId="{63BE2683-CD05-475F-A892-6A6250E8BECC}" id="{890D8713-B517-094C-A0CE-E445D283D970}">
    <text>2024</text>
  </threadedComment>
  <threadedComment ref="D43" dT="2024-10-10T08:59:23.92" personId="{63BE2683-CD05-475F-A892-6A6250E8BECC}" id="{6B0BB4DE-F73E-314B-AAD4-9837F9087166}">
    <text>2017?</text>
  </threadedComment>
  <threadedComment ref="D53" dT="2024-10-10T08:58:53.66" personId="{63BE2683-CD05-475F-A892-6A6250E8BECC}" id="{C460A571-CCA5-D841-908E-82F4F811D981}">
    <text>2023?</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6A85F-3795-3F4F-8AD2-34AF70C3A66E}">
  <dimension ref="A1:DX69"/>
  <sheetViews>
    <sheetView zoomScale="113" zoomScaleNormal="50" workbookViewId="0">
      <pane xSplit="2" ySplit="3" topLeftCell="BL56" activePane="bottomRight" state="frozen"/>
      <selection pane="topRight" activeCell="C1" sqref="C1"/>
      <selection pane="bottomLeft" activeCell="A4" sqref="A4"/>
      <selection pane="bottomRight" activeCell="BT60" sqref="BT60"/>
    </sheetView>
  </sheetViews>
  <sheetFormatPr defaultColWidth="10.5" defaultRowHeight="15"/>
  <cols>
    <col min="1" max="1" width="10.5" style="71"/>
    <col min="2" max="2" width="21" style="71" customWidth="1"/>
    <col min="3" max="9" width="15.5" style="71" customWidth="1"/>
    <col min="10" max="10" width="17" style="71" customWidth="1"/>
    <col min="11" max="12" width="15.5" style="71" customWidth="1"/>
    <col min="13" max="13" width="83" style="143" customWidth="1"/>
    <col min="14" max="14" width="15.5" style="143" customWidth="1"/>
    <col min="15" max="24" width="15.5" style="71" customWidth="1"/>
    <col min="25" max="25" width="17.875" style="71" customWidth="1"/>
    <col min="26" max="38" width="15.5" style="71" customWidth="1"/>
    <col min="39" max="39" width="22" style="71" customWidth="1"/>
    <col min="40" max="56" width="15.5" style="71" customWidth="1"/>
    <col min="57" max="57" width="22" style="71" customWidth="1"/>
    <col min="58" max="60" width="15.5" style="71" customWidth="1"/>
    <col min="61" max="61" width="21.5" style="71" customWidth="1"/>
    <col min="62" max="62" width="15.5" style="71" customWidth="1"/>
    <col min="63" max="63" width="16.125" style="71" customWidth="1"/>
    <col min="64" max="66" width="15.5" style="71" customWidth="1"/>
    <col min="67" max="68" width="19" style="71" customWidth="1"/>
    <col min="69" max="80" width="15.5" style="71" customWidth="1"/>
    <col min="81" max="81" width="16.5" style="71" customWidth="1"/>
    <col min="82" max="82" width="22.875" style="71" customWidth="1"/>
    <col min="83" max="83" width="15.5" style="71" customWidth="1"/>
    <col min="84" max="89" width="19" style="71" customWidth="1"/>
    <col min="90" max="95" width="15.5" style="71" customWidth="1"/>
    <col min="96" max="96" width="21" style="71" customWidth="1"/>
    <col min="97" max="100" width="19.5" style="71" customWidth="1"/>
    <col min="101" max="103" width="15.5" style="71" customWidth="1"/>
    <col min="104" max="104" width="25" style="71" customWidth="1"/>
    <col min="105" max="108" width="15.5" style="71" customWidth="1"/>
    <col min="109" max="109" width="19" style="71" customWidth="1"/>
    <col min="110" max="126" width="15.5" style="71" customWidth="1"/>
    <col min="127" max="128" width="18.5" style="71" customWidth="1"/>
    <col min="129" max="16384" width="10.5" style="71"/>
  </cols>
  <sheetData>
    <row r="1" spans="1:128" ht="27" customHeight="1" thickBot="1">
      <c r="B1" s="201" t="s">
        <v>155</v>
      </c>
      <c r="C1" s="202"/>
      <c r="D1" s="202"/>
      <c r="E1" s="202"/>
      <c r="F1" s="202"/>
      <c r="G1" s="202"/>
      <c r="H1" s="202"/>
      <c r="I1" s="202"/>
      <c r="J1" s="202"/>
      <c r="K1" s="202"/>
      <c r="L1" s="202"/>
      <c r="M1" s="202"/>
      <c r="N1" s="202"/>
      <c r="O1" s="202"/>
      <c r="P1" s="202"/>
      <c r="Q1" s="202"/>
      <c r="R1" s="202"/>
      <c r="S1" s="202"/>
      <c r="T1" s="202"/>
      <c r="U1" s="203"/>
      <c r="V1" s="194" t="s">
        <v>156</v>
      </c>
      <c r="W1" s="194"/>
      <c r="X1" s="194"/>
      <c r="Y1" s="194"/>
      <c r="Z1" s="194"/>
      <c r="AA1" s="194"/>
      <c r="AB1" s="194"/>
      <c r="AC1" s="194"/>
      <c r="AD1" s="194"/>
      <c r="AE1" s="195" t="s">
        <v>157</v>
      </c>
      <c r="AF1" s="196"/>
      <c r="AG1" s="196"/>
      <c r="AH1" s="196"/>
      <c r="AI1" s="196"/>
      <c r="AJ1" s="197" t="s">
        <v>158</v>
      </c>
      <c r="AK1" s="198"/>
      <c r="AL1" s="198"/>
      <c r="AM1" s="198"/>
      <c r="AN1" s="198"/>
      <c r="AO1" s="198"/>
      <c r="AP1" s="198"/>
      <c r="AQ1" s="198"/>
      <c r="AR1" s="198"/>
      <c r="AS1" s="198"/>
      <c r="AT1" s="198"/>
      <c r="AU1" s="198"/>
      <c r="AV1" s="198"/>
      <c r="AW1" s="198"/>
      <c r="AX1" s="198"/>
      <c r="AY1" s="198"/>
      <c r="AZ1" s="198"/>
      <c r="BA1" s="198"/>
      <c r="BB1" s="198"/>
      <c r="BC1" s="198"/>
      <c r="BD1" s="198"/>
      <c r="BE1" s="198"/>
      <c r="BF1" s="199" t="s">
        <v>159</v>
      </c>
      <c r="BG1" s="200"/>
      <c r="BH1" s="200"/>
      <c r="BI1" s="200"/>
      <c r="BJ1" s="182" t="s">
        <v>160</v>
      </c>
      <c r="BK1" s="183"/>
      <c r="BL1" s="183"/>
      <c r="BM1" s="183"/>
      <c r="BN1" s="184" t="s">
        <v>161</v>
      </c>
      <c r="BO1" s="185"/>
      <c r="BP1" s="185"/>
      <c r="BQ1" s="185"/>
      <c r="BR1" s="186"/>
      <c r="BS1" s="187" t="s">
        <v>162</v>
      </c>
      <c r="BT1" s="187"/>
      <c r="BU1" s="187"/>
      <c r="BV1" s="187"/>
      <c r="BW1" s="187"/>
      <c r="BX1" s="187"/>
      <c r="BY1" s="187"/>
      <c r="BZ1" s="187"/>
      <c r="CA1" s="187"/>
      <c r="CB1" s="187"/>
      <c r="CC1" s="187"/>
      <c r="CD1" s="187"/>
      <c r="CE1" s="187"/>
      <c r="CF1" s="187"/>
      <c r="CG1" s="187"/>
      <c r="CH1" s="187"/>
      <c r="CI1" s="187"/>
      <c r="CJ1" s="187"/>
      <c r="CK1" s="187"/>
      <c r="CL1" s="187"/>
      <c r="CM1" s="187"/>
      <c r="CN1" s="187"/>
      <c r="CO1" s="187"/>
      <c r="CP1" s="187"/>
      <c r="CQ1" s="187"/>
      <c r="CR1" s="187"/>
      <c r="CS1" s="187"/>
      <c r="CT1" s="187"/>
      <c r="CU1" s="187"/>
      <c r="CV1" s="187"/>
      <c r="CW1" s="187"/>
      <c r="CX1" s="187"/>
      <c r="CY1" s="187"/>
      <c r="CZ1" s="187"/>
      <c r="DA1" s="188" t="s">
        <v>163</v>
      </c>
      <c r="DB1" s="189"/>
      <c r="DC1" s="189"/>
      <c r="DD1" s="189"/>
      <c r="DE1" s="189"/>
      <c r="DF1" s="189"/>
      <c r="DG1" s="189"/>
      <c r="DH1" s="189"/>
      <c r="DI1" s="189"/>
      <c r="DJ1" s="190" t="s">
        <v>164</v>
      </c>
      <c r="DK1" s="191"/>
      <c r="DL1" s="191"/>
      <c r="DM1" s="191"/>
      <c r="DN1" s="191"/>
      <c r="DO1" s="191"/>
      <c r="DP1" s="192" t="s">
        <v>165</v>
      </c>
      <c r="DQ1" s="193"/>
      <c r="DR1" s="193"/>
      <c r="DS1" s="193"/>
      <c r="DT1" s="193"/>
      <c r="DU1" s="193"/>
      <c r="DV1" s="179" t="s">
        <v>166</v>
      </c>
      <c r="DW1" s="180"/>
      <c r="DX1" s="181"/>
    </row>
    <row r="2" spans="1:128" ht="54.95" customHeight="1" thickBot="1">
      <c r="B2" s="67" t="s">
        <v>0</v>
      </c>
      <c r="C2" s="1" t="s">
        <v>1</v>
      </c>
      <c r="D2" s="1" t="s">
        <v>2</v>
      </c>
      <c r="E2" s="1" t="s">
        <v>3</v>
      </c>
      <c r="F2" s="1" t="s">
        <v>5</v>
      </c>
      <c r="G2" s="1" t="s">
        <v>6</v>
      </c>
      <c r="H2" s="1"/>
      <c r="I2" s="1" t="s">
        <v>617</v>
      </c>
      <c r="J2" s="129" t="s">
        <v>618</v>
      </c>
      <c r="K2" s="1" t="s">
        <v>7</v>
      </c>
      <c r="L2" s="1" t="s">
        <v>8</v>
      </c>
      <c r="M2" s="68" t="s">
        <v>9</v>
      </c>
      <c r="N2" s="137" t="s">
        <v>1549</v>
      </c>
      <c r="O2" s="137" t="s">
        <v>1550</v>
      </c>
      <c r="P2" s="137" t="s">
        <v>1551</v>
      </c>
      <c r="Q2" s="137" t="s">
        <v>1557</v>
      </c>
      <c r="R2" s="137" t="s">
        <v>1552</v>
      </c>
      <c r="S2" s="137" t="s">
        <v>1553</v>
      </c>
      <c r="T2" s="137" t="s">
        <v>1554</v>
      </c>
      <c r="U2" s="137" t="s">
        <v>1555</v>
      </c>
      <c r="V2" s="63" t="s">
        <v>10</v>
      </c>
      <c r="W2" s="2" t="s">
        <v>12</v>
      </c>
      <c r="X2" s="2" t="s">
        <v>11</v>
      </c>
      <c r="Y2" s="2" t="s">
        <v>13</v>
      </c>
      <c r="Z2" s="2" t="s">
        <v>4</v>
      </c>
      <c r="AA2" s="2" t="s">
        <v>14</v>
      </c>
      <c r="AB2" s="2" t="s">
        <v>15</v>
      </c>
      <c r="AC2" s="2" t="s">
        <v>16</v>
      </c>
      <c r="AD2" s="64" t="s">
        <v>17</v>
      </c>
      <c r="AE2" s="59" t="s">
        <v>18</v>
      </c>
      <c r="AF2" s="73" t="s">
        <v>456</v>
      </c>
      <c r="AG2" s="3" t="s">
        <v>19</v>
      </c>
      <c r="AH2" s="3" t="s">
        <v>20</v>
      </c>
      <c r="AI2" s="60" t="s">
        <v>613</v>
      </c>
      <c r="AJ2" s="55" t="s">
        <v>21</v>
      </c>
      <c r="AK2" s="4" t="s">
        <v>22</v>
      </c>
      <c r="AL2" s="4" t="s">
        <v>23</v>
      </c>
      <c r="AM2" s="4" t="s">
        <v>24</v>
      </c>
      <c r="AN2" s="4" t="s">
        <v>25</v>
      </c>
      <c r="AO2" s="4" t="s">
        <v>26</v>
      </c>
      <c r="AP2" s="124" t="s">
        <v>1013</v>
      </c>
      <c r="AQ2" s="124" t="s">
        <v>1012</v>
      </c>
      <c r="AR2" s="124" t="s">
        <v>1178</v>
      </c>
      <c r="AS2" s="124" t="s">
        <v>774</v>
      </c>
      <c r="AT2" s="124" t="s">
        <v>1179</v>
      </c>
      <c r="AU2" s="124" t="s">
        <v>1180</v>
      </c>
      <c r="AV2" s="124" t="s">
        <v>1177</v>
      </c>
      <c r="AW2" s="4" t="s">
        <v>27</v>
      </c>
      <c r="AX2" s="122" t="s">
        <v>1165</v>
      </c>
      <c r="AY2" s="122" t="s">
        <v>540</v>
      </c>
      <c r="AZ2" s="122" t="s">
        <v>657</v>
      </c>
      <c r="BA2" s="122" t="s">
        <v>1166</v>
      </c>
      <c r="BB2" s="122" t="s">
        <v>1171</v>
      </c>
      <c r="BC2" s="122" t="s">
        <v>1175</v>
      </c>
      <c r="BD2" s="122" t="s">
        <v>1173</v>
      </c>
      <c r="BE2" s="56" t="s">
        <v>28</v>
      </c>
      <c r="BF2" s="51" t="s">
        <v>29</v>
      </c>
      <c r="BG2" s="5" t="s">
        <v>22</v>
      </c>
      <c r="BH2" s="5" t="s">
        <v>23</v>
      </c>
      <c r="BI2" s="52" t="s">
        <v>30</v>
      </c>
      <c r="BJ2" s="47" t="s">
        <v>31</v>
      </c>
      <c r="BK2" s="136" t="s">
        <v>1547</v>
      </c>
      <c r="BL2" s="6" t="s">
        <v>32</v>
      </c>
      <c r="BM2" s="48" t="s">
        <v>33</v>
      </c>
      <c r="BN2" s="43" t="s">
        <v>34</v>
      </c>
      <c r="BO2" s="7" t="s">
        <v>35</v>
      </c>
      <c r="BP2" s="7" t="s">
        <v>403</v>
      </c>
      <c r="BQ2" s="7" t="s">
        <v>36</v>
      </c>
      <c r="BR2" s="44" t="s">
        <v>37</v>
      </c>
      <c r="BS2" s="37" t="s">
        <v>38</v>
      </c>
      <c r="BT2" s="38" t="s">
        <v>39</v>
      </c>
      <c r="BU2" s="118" t="s">
        <v>1213</v>
      </c>
      <c r="BV2" s="118" t="s">
        <v>1214</v>
      </c>
      <c r="BW2" s="118" t="s">
        <v>1215</v>
      </c>
      <c r="BX2" s="118" t="s">
        <v>1216</v>
      </c>
      <c r="BY2" s="118" t="s">
        <v>1217</v>
      </c>
      <c r="BZ2" s="118" t="s">
        <v>1218</v>
      </c>
      <c r="CA2" s="118" t="s">
        <v>1225</v>
      </c>
      <c r="CB2" s="38" t="s">
        <v>40</v>
      </c>
      <c r="CC2" s="38" t="s">
        <v>41</v>
      </c>
      <c r="CD2" s="38" t="s">
        <v>42</v>
      </c>
      <c r="CE2" s="38" t="s">
        <v>43</v>
      </c>
      <c r="CF2" s="38" t="s">
        <v>44</v>
      </c>
      <c r="CG2" s="118" t="s">
        <v>54</v>
      </c>
      <c r="CH2" s="118" t="s">
        <v>1151</v>
      </c>
      <c r="CI2" s="118" t="s">
        <v>1148</v>
      </c>
      <c r="CJ2" s="118" t="s">
        <v>871</v>
      </c>
      <c r="CK2" s="118" t="s">
        <v>1152</v>
      </c>
      <c r="CL2" s="38" t="s">
        <v>45</v>
      </c>
      <c r="CM2" s="38" t="s">
        <v>46</v>
      </c>
      <c r="CN2" s="118" t="s">
        <v>1162</v>
      </c>
      <c r="CO2" s="118" t="s">
        <v>1160</v>
      </c>
      <c r="CP2" s="118" t="s">
        <v>1161</v>
      </c>
      <c r="CQ2" s="118" t="s">
        <v>1159</v>
      </c>
      <c r="CR2" s="38" t="s">
        <v>47</v>
      </c>
      <c r="CS2" s="38" t="s">
        <v>48</v>
      </c>
      <c r="CT2" s="118" t="s">
        <v>440</v>
      </c>
      <c r="CU2" s="118" t="s">
        <v>545</v>
      </c>
      <c r="CV2" s="118" t="s">
        <v>1209</v>
      </c>
      <c r="CW2" s="38" t="s">
        <v>49</v>
      </c>
      <c r="CX2" s="38" t="s">
        <v>50</v>
      </c>
      <c r="CY2" s="38" t="s">
        <v>51</v>
      </c>
      <c r="CZ2" s="39" t="s">
        <v>52</v>
      </c>
      <c r="DA2" s="32" t="s">
        <v>53</v>
      </c>
      <c r="DB2" s="8" t="s">
        <v>54</v>
      </c>
      <c r="DC2" s="8" t="s">
        <v>55</v>
      </c>
      <c r="DD2" s="8" t="s">
        <v>56</v>
      </c>
      <c r="DE2" s="8" t="s">
        <v>57</v>
      </c>
      <c r="DF2" s="8" t="s">
        <v>58</v>
      </c>
      <c r="DG2" s="8" t="s">
        <v>59</v>
      </c>
      <c r="DH2" s="8" t="s">
        <v>60</v>
      </c>
      <c r="DI2" s="33" t="s">
        <v>61</v>
      </c>
      <c r="DJ2" s="28" t="s">
        <v>62</v>
      </c>
      <c r="DK2" s="9" t="s">
        <v>63</v>
      </c>
      <c r="DL2" s="9" t="s">
        <v>64</v>
      </c>
      <c r="DM2" s="9" t="s">
        <v>65</v>
      </c>
      <c r="DN2" s="9" t="s">
        <v>66</v>
      </c>
      <c r="DO2" s="29" t="s">
        <v>67</v>
      </c>
      <c r="DP2" s="23" t="s">
        <v>68</v>
      </c>
      <c r="DQ2" s="10" t="s">
        <v>69</v>
      </c>
      <c r="DR2" s="10" t="s">
        <v>70</v>
      </c>
      <c r="DS2" s="10" t="s">
        <v>71</v>
      </c>
      <c r="DT2" s="10" t="s">
        <v>72</v>
      </c>
      <c r="DU2" s="24" t="s">
        <v>73</v>
      </c>
      <c r="DV2" s="18" t="s">
        <v>74</v>
      </c>
      <c r="DW2" s="134" t="s">
        <v>75</v>
      </c>
      <c r="DX2" s="19" t="s">
        <v>76</v>
      </c>
    </row>
    <row r="3" spans="1:128" ht="32.25" thickBot="1">
      <c r="B3" s="69" t="s">
        <v>77</v>
      </c>
      <c r="C3" s="11" t="s">
        <v>78</v>
      </c>
      <c r="D3" s="11" t="s">
        <v>79</v>
      </c>
      <c r="E3" s="11" t="s">
        <v>80</v>
      </c>
      <c r="F3" s="11" t="s">
        <v>82</v>
      </c>
      <c r="G3" s="11" t="s">
        <v>83</v>
      </c>
      <c r="H3" s="126" t="s">
        <v>1227</v>
      </c>
      <c r="I3" s="11" t="s">
        <v>615</v>
      </c>
      <c r="J3" s="126" t="s">
        <v>616</v>
      </c>
      <c r="K3" s="11" t="s">
        <v>84</v>
      </c>
      <c r="L3" s="11" t="s">
        <v>85</v>
      </c>
      <c r="M3" s="70" t="s">
        <v>86</v>
      </c>
      <c r="N3" s="138" t="s">
        <v>1556</v>
      </c>
      <c r="O3" s="138" t="s">
        <v>1558</v>
      </c>
      <c r="P3" s="138" t="s">
        <v>1559</v>
      </c>
      <c r="Q3" s="138" t="s">
        <v>1560</v>
      </c>
      <c r="R3" s="138" t="s">
        <v>1561</v>
      </c>
      <c r="S3" s="138" t="s">
        <v>1562</v>
      </c>
      <c r="T3" s="138" t="s">
        <v>1563</v>
      </c>
      <c r="U3" s="138" t="s">
        <v>1564</v>
      </c>
      <c r="V3" s="65" t="s">
        <v>87</v>
      </c>
      <c r="W3" s="12" t="s">
        <v>88</v>
      </c>
      <c r="X3" s="12" t="s">
        <v>394</v>
      </c>
      <c r="Y3" s="12" t="s">
        <v>89</v>
      </c>
      <c r="Z3" s="12" t="s">
        <v>81</v>
      </c>
      <c r="AA3" s="12" t="s">
        <v>90</v>
      </c>
      <c r="AB3" s="12" t="s">
        <v>91</v>
      </c>
      <c r="AC3" s="12" t="s">
        <v>92</v>
      </c>
      <c r="AD3" s="66" t="s">
        <v>93</v>
      </c>
      <c r="AE3" s="61" t="s">
        <v>94</v>
      </c>
      <c r="AF3" s="74" t="s">
        <v>457</v>
      </c>
      <c r="AG3" s="13" t="s">
        <v>95</v>
      </c>
      <c r="AH3" s="13" t="s">
        <v>96</v>
      </c>
      <c r="AI3" s="62" t="s">
        <v>97</v>
      </c>
      <c r="AJ3" s="57" t="s">
        <v>98</v>
      </c>
      <c r="AK3" s="14" t="s">
        <v>99</v>
      </c>
      <c r="AL3" s="14" t="s">
        <v>100</v>
      </c>
      <c r="AM3" s="14" t="s">
        <v>101</v>
      </c>
      <c r="AN3" s="14" t="s">
        <v>102</v>
      </c>
      <c r="AO3" s="14" t="s">
        <v>103</v>
      </c>
      <c r="AP3" s="125" t="s">
        <v>1235</v>
      </c>
      <c r="AQ3" s="125" t="s">
        <v>1236</v>
      </c>
      <c r="AR3" s="125" t="s">
        <v>1237</v>
      </c>
      <c r="AS3" s="125" t="s">
        <v>1238</v>
      </c>
      <c r="AT3" s="125" t="s">
        <v>1239</v>
      </c>
      <c r="AU3" s="125" t="s">
        <v>1240</v>
      </c>
      <c r="AV3" s="125" t="s">
        <v>1241</v>
      </c>
      <c r="AW3" s="14" t="s">
        <v>104</v>
      </c>
      <c r="AX3" s="123" t="s">
        <v>1167</v>
      </c>
      <c r="AY3" s="123" t="s">
        <v>1168</v>
      </c>
      <c r="AZ3" s="123" t="s">
        <v>1169</v>
      </c>
      <c r="BA3" s="123" t="s">
        <v>1170</v>
      </c>
      <c r="BB3" s="123" t="s">
        <v>1172</v>
      </c>
      <c r="BC3" s="123" t="s">
        <v>1176</v>
      </c>
      <c r="BD3" s="123" t="s">
        <v>1174</v>
      </c>
      <c r="BE3" s="58" t="s">
        <v>105</v>
      </c>
      <c r="BF3" s="53" t="s">
        <v>106</v>
      </c>
      <c r="BG3" s="15" t="s">
        <v>107</v>
      </c>
      <c r="BH3" s="15" t="s">
        <v>108</v>
      </c>
      <c r="BI3" s="54" t="s">
        <v>109</v>
      </c>
      <c r="BJ3" s="49" t="s">
        <v>110</v>
      </c>
      <c r="BK3" s="135" t="s">
        <v>1548</v>
      </c>
      <c r="BL3" s="16" t="s">
        <v>111</v>
      </c>
      <c r="BM3" s="50" t="s">
        <v>112</v>
      </c>
      <c r="BN3" s="45" t="s">
        <v>113</v>
      </c>
      <c r="BO3" s="17" t="s">
        <v>114</v>
      </c>
      <c r="BP3" s="17" t="s">
        <v>404</v>
      </c>
      <c r="BQ3" s="17" t="s">
        <v>115</v>
      </c>
      <c r="BR3" s="46" t="s">
        <v>116</v>
      </c>
      <c r="BS3" s="40" t="s">
        <v>117</v>
      </c>
      <c r="BT3" s="41" t="s">
        <v>118</v>
      </c>
      <c r="BU3" s="119" t="s">
        <v>1224</v>
      </c>
      <c r="BV3" s="119" t="s">
        <v>1223</v>
      </c>
      <c r="BW3" s="119" t="s">
        <v>1222</v>
      </c>
      <c r="BX3" s="119" t="s">
        <v>1221</v>
      </c>
      <c r="BY3" s="119" t="s">
        <v>1220</v>
      </c>
      <c r="BZ3" s="119" t="s">
        <v>1219</v>
      </c>
      <c r="CA3" s="119" t="s">
        <v>1226</v>
      </c>
      <c r="CB3" s="41" t="s">
        <v>119</v>
      </c>
      <c r="CC3" s="41" t="s">
        <v>120</v>
      </c>
      <c r="CD3" s="41" t="s">
        <v>121</v>
      </c>
      <c r="CE3" s="41" t="s">
        <v>122</v>
      </c>
      <c r="CF3" s="41" t="s">
        <v>123</v>
      </c>
      <c r="CG3" s="119" t="s">
        <v>1242</v>
      </c>
      <c r="CH3" s="119" t="s">
        <v>1154</v>
      </c>
      <c r="CI3" s="119" t="s">
        <v>1149</v>
      </c>
      <c r="CJ3" s="119" t="s">
        <v>1153</v>
      </c>
      <c r="CK3" s="119" t="s">
        <v>1155</v>
      </c>
      <c r="CL3" s="41" t="s">
        <v>124</v>
      </c>
      <c r="CM3" s="41" t="s">
        <v>125</v>
      </c>
      <c r="CN3" s="119" t="s">
        <v>1157</v>
      </c>
      <c r="CO3" s="119" t="s">
        <v>1156</v>
      </c>
      <c r="CP3" s="119" t="s">
        <v>1163</v>
      </c>
      <c r="CQ3" s="119" t="s">
        <v>1164</v>
      </c>
      <c r="CR3" s="41" t="s">
        <v>126</v>
      </c>
      <c r="CS3" s="41" t="s">
        <v>127</v>
      </c>
      <c r="CT3" s="119" t="s">
        <v>1210</v>
      </c>
      <c r="CU3" s="119" t="s">
        <v>1211</v>
      </c>
      <c r="CV3" s="119" t="s">
        <v>1212</v>
      </c>
      <c r="CW3" s="41" t="s">
        <v>128</v>
      </c>
      <c r="CX3" s="41" t="s">
        <v>129</v>
      </c>
      <c r="CY3" s="41" t="s">
        <v>130</v>
      </c>
      <c r="CZ3" s="42" t="s">
        <v>131</v>
      </c>
      <c r="DA3" s="34" t="s">
        <v>132</v>
      </c>
      <c r="DB3" s="35" t="s">
        <v>133</v>
      </c>
      <c r="DC3" s="35" t="s">
        <v>134</v>
      </c>
      <c r="DD3" s="35" t="s">
        <v>135</v>
      </c>
      <c r="DE3" s="35" t="s">
        <v>136</v>
      </c>
      <c r="DF3" s="35" t="s">
        <v>137</v>
      </c>
      <c r="DG3" s="35" t="s">
        <v>138</v>
      </c>
      <c r="DH3" s="35" t="s">
        <v>139</v>
      </c>
      <c r="DI3" s="36" t="s">
        <v>140</v>
      </c>
      <c r="DJ3" s="117" t="s">
        <v>1085</v>
      </c>
      <c r="DK3" s="30" t="s">
        <v>141</v>
      </c>
      <c r="DL3" s="30" t="s">
        <v>142</v>
      </c>
      <c r="DM3" s="30" t="s">
        <v>143</v>
      </c>
      <c r="DN3" s="30" t="s">
        <v>144</v>
      </c>
      <c r="DO3" s="31" t="s">
        <v>145</v>
      </c>
      <c r="DP3" s="25" t="s">
        <v>146</v>
      </c>
      <c r="DQ3" s="26" t="s">
        <v>147</v>
      </c>
      <c r="DR3" s="26" t="s">
        <v>148</v>
      </c>
      <c r="DS3" s="26" t="s">
        <v>149</v>
      </c>
      <c r="DT3" s="26" t="s">
        <v>150</v>
      </c>
      <c r="DU3" s="27" t="s">
        <v>151</v>
      </c>
      <c r="DV3" s="20" t="s">
        <v>152</v>
      </c>
      <c r="DW3" s="21" t="s">
        <v>153</v>
      </c>
      <c r="DX3" s="22" t="s">
        <v>154</v>
      </c>
    </row>
    <row r="4" spans="1:128" ht="105">
      <c r="B4" s="72" t="s">
        <v>353</v>
      </c>
      <c r="C4" s="76" t="s">
        <v>199</v>
      </c>
      <c r="D4" s="76" t="s">
        <v>287</v>
      </c>
      <c r="E4" s="76">
        <v>2014</v>
      </c>
      <c r="F4" s="76" t="s">
        <v>381</v>
      </c>
      <c r="G4" s="76" t="s">
        <v>259</v>
      </c>
      <c r="H4" s="127">
        <v>8.9</v>
      </c>
      <c r="I4" s="76" t="s">
        <v>418</v>
      </c>
      <c r="J4" s="127" t="s">
        <v>522</v>
      </c>
      <c r="K4" s="76">
        <v>221</v>
      </c>
      <c r="L4" s="76" t="s">
        <v>436</v>
      </c>
      <c r="M4" s="92" t="s">
        <v>1245</v>
      </c>
      <c r="N4" s="141" t="s">
        <v>1565</v>
      </c>
      <c r="O4" s="140" t="s">
        <v>384</v>
      </c>
      <c r="P4" s="140" t="s">
        <v>383</v>
      </c>
      <c r="Q4" s="140" t="s">
        <v>384</v>
      </c>
      <c r="R4" s="140" t="s">
        <v>383</v>
      </c>
      <c r="S4" s="140" t="s">
        <v>383</v>
      </c>
      <c r="T4" s="140" t="s">
        <v>383</v>
      </c>
      <c r="U4" s="140" t="s">
        <v>383</v>
      </c>
      <c r="V4" s="76" t="s">
        <v>419</v>
      </c>
      <c r="W4" s="75">
        <v>2003</v>
      </c>
      <c r="X4" s="76">
        <v>2009</v>
      </c>
      <c r="Y4" s="75">
        <f t="shared" ref="Y4:Y31" si="0" xml:space="preserve"> X4 - W4</f>
        <v>6</v>
      </c>
      <c r="Z4" s="76">
        <f t="shared" ref="Z4:Z31" si="1" xml:space="preserve"> E4 - X4</f>
        <v>5</v>
      </c>
      <c r="AA4" s="76">
        <v>3</v>
      </c>
      <c r="AB4" s="76">
        <v>38</v>
      </c>
      <c r="AC4" s="76">
        <v>18078</v>
      </c>
      <c r="AD4" s="76" t="s">
        <v>420</v>
      </c>
      <c r="AE4" s="76" t="s">
        <v>383</v>
      </c>
      <c r="AF4" s="76" t="s">
        <v>383</v>
      </c>
      <c r="AG4" s="75" t="s">
        <v>383</v>
      </c>
      <c r="AH4" s="111" t="s">
        <v>384</v>
      </c>
      <c r="AI4" s="76" t="s">
        <v>392</v>
      </c>
      <c r="AJ4" s="76" t="s">
        <v>383</v>
      </c>
      <c r="AK4" s="76" t="s">
        <v>392</v>
      </c>
      <c r="AL4" s="76" t="s">
        <v>392</v>
      </c>
      <c r="AM4" s="76"/>
      <c r="AN4" s="111" t="s">
        <v>1244</v>
      </c>
      <c r="AO4" s="76" t="s">
        <v>1147</v>
      </c>
      <c r="AP4" s="120" t="s">
        <v>384</v>
      </c>
      <c r="AQ4" s="120" t="s">
        <v>383</v>
      </c>
      <c r="AR4" s="120" t="s">
        <v>383</v>
      </c>
      <c r="AS4" s="120" t="s">
        <v>383</v>
      </c>
      <c r="AT4" s="120" t="s">
        <v>383</v>
      </c>
      <c r="AU4" s="120" t="s">
        <v>383</v>
      </c>
      <c r="AV4" s="120" t="s">
        <v>384</v>
      </c>
      <c r="AW4" s="76" t="s">
        <v>1108</v>
      </c>
      <c r="AX4" s="120" t="s">
        <v>383</v>
      </c>
      <c r="AY4" s="120" t="s">
        <v>384</v>
      </c>
      <c r="AZ4" s="120" t="s">
        <v>383</v>
      </c>
      <c r="BA4" s="120" t="s">
        <v>384</v>
      </c>
      <c r="BB4" s="120" t="s">
        <v>383</v>
      </c>
      <c r="BC4" s="120" t="s">
        <v>383</v>
      </c>
      <c r="BD4" s="120" t="s">
        <v>383</v>
      </c>
      <c r="BE4" s="76" t="s">
        <v>383</v>
      </c>
      <c r="BF4" s="76" t="s">
        <v>384</v>
      </c>
      <c r="BG4" s="76" t="s">
        <v>478</v>
      </c>
      <c r="BH4" s="76" t="s">
        <v>422</v>
      </c>
      <c r="BI4" s="76">
        <v>100</v>
      </c>
      <c r="BJ4" s="75" t="s">
        <v>384</v>
      </c>
      <c r="BK4" s="140" t="s">
        <v>1567</v>
      </c>
      <c r="BL4" s="75" t="s">
        <v>1023</v>
      </c>
      <c r="BM4" s="76" t="s">
        <v>392</v>
      </c>
      <c r="BN4" s="76" t="s">
        <v>384</v>
      </c>
      <c r="BO4" s="76" t="s">
        <v>549</v>
      </c>
      <c r="BP4" s="76" t="s">
        <v>392</v>
      </c>
      <c r="BQ4" s="76" t="s">
        <v>475</v>
      </c>
      <c r="BR4" s="76" t="s">
        <v>386</v>
      </c>
      <c r="BS4" s="76" t="s">
        <v>474</v>
      </c>
      <c r="BT4" s="76" t="s">
        <v>438</v>
      </c>
      <c r="BU4" s="120" t="s">
        <v>384</v>
      </c>
      <c r="BV4" s="120" t="s">
        <v>383</v>
      </c>
      <c r="BW4" s="120" t="s">
        <v>383</v>
      </c>
      <c r="BX4" s="120" t="s">
        <v>383</v>
      </c>
      <c r="BY4" s="120" t="s">
        <v>383</v>
      </c>
      <c r="BZ4" s="120" t="s">
        <v>383</v>
      </c>
      <c r="CA4" s="120" t="s">
        <v>383</v>
      </c>
      <c r="CB4" s="76" t="s">
        <v>383</v>
      </c>
      <c r="CC4" s="76" t="s">
        <v>383</v>
      </c>
      <c r="CD4" s="76" t="s">
        <v>383</v>
      </c>
      <c r="CE4" s="76" t="s">
        <v>384</v>
      </c>
      <c r="CF4" s="76" t="s">
        <v>435</v>
      </c>
      <c r="CG4" s="120" t="s">
        <v>384</v>
      </c>
      <c r="CH4" s="120" t="s">
        <v>383</v>
      </c>
      <c r="CI4" s="120" t="s">
        <v>383</v>
      </c>
      <c r="CJ4" s="120" t="s">
        <v>383</v>
      </c>
      <c r="CK4" s="120" t="s">
        <v>383</v>
      </c>
      <c r="CL4" s="76" t="s">
        <v>384</v>
      </c>
      <c r="CM4" s="76" t="s">
        <v>439</v>
      </c>
      <c r="CN4" s="120" t="s">
        <v>383</v>
      </c>
      <c r="CO4" s="120" t="s">
        <v>384</v>
      </c>
      <c r="CP4" s="120" t="s">
        <v>384</v>
      </c>
      <c r="CQ4" s="120" t="s">
        <v>383</v>
      </c>
      <c r="CR4" s="76" t="s">
        <v>384</v>
      </c>
      <c r="CS4" s="76" t="s">
        <v>440</v>
      </c>
      <c r="CT4" s="120" t="s">
        <v>384</v>
      </c>
      <c r="CU4" s="120" t="s">
        <v>383</v>
      </c>
      <c r="CV4" s="120" t="s">
        <v>383</v>
      </c>
      <c r="CW4" s="76" t="s">
        <v>383</v>
      </c>
      <c r="CX4" s="76" t="s">
        <v>383</v>
      </c>
      <c r="CY4" s="76" t="s">
        <v>383</v>
      </c>
      <c r="CZ4" s="76" t="s">
        <v>437</v>
      </c>
      <c r="DA4" s="76" t="s">
        <v>383</v>
      </c>
      <c r="DB4" s="76" t="s">
        <v>384</v>
      </c>
      <c r="DC4" s="76" t="s">
        <v>383</v>
      </c>
      <c r="DD4" s="76" t="s">
        <v>383</v>
      </c>
      <c r="DE4" s="76" t="s">
        <v>384</v>
      </c>
      <c r="DF4" s="76" t="s">
        <v>384</v>
      </c>
      <c r="DG4" s="76" t="s">
        <v>384</v>
      </c>
      <c r="DH4" s="76" t="s">
        <v>383</v>
      </c>
      <c r="DI4" s="76"/>
      <c r="DJ4" s="76" t="s">
        <v>384</v>
      </c>
      <c r="DK4" s="76" t="s">
        <v>383</v>
      </c>
      <c r="DL4" s="76" t="s">
        <v>383</v>
      </c>
      <c r="DM4" s="76" t="s">
        <v>383</v>
      </c>
      <c r="DN4" s="111"/>
      <c r="DO4" s="76" t="s">
        <v>1072</v>
      </c>
      <c r="DP4" s="76" t="s">
        <v>383</v>
      </c>
      <c r="DQ4" s="76" t="s">
        <v>383</v>
      </c>
      <c r="DR4" s="76" t="s">
        <v>384</v>
      </c>
      <c r="DS4" s="76" t="s">
        <v>383</v>
      </c>
      <c r="DT4" s="76" t="s">
        <v>383</v>
      </c>
      <c r="DU4" s="76" t="s">
        <v>383</v>
      </c>
      <c r="DV4" s="76" t="s">
        <v>473</v>
      </c>
      <c r="DW4" s="111" t="s">
        <v>1077</v>
      </c>
      <c r="DX4" s="76" t="s">
        <v>1246</v>
      </c>
    </row>
    <row r="5" spans="1:128" ht="285">
      <c r="B5" s="72" t="s">
        <v>352</v>
      </c>
      <c r="C5" s="76" t="s">
        <v>198</v>
      </c>
      <c r="D5" s="76" t="s">
        <v>320</v>
      </c>
      <c r="E5" s="76">
        <v>2014</v>
      </c>
      <c r="F5" s="76" t="s">
        <v>381</v>
      </c>
      <c r="G5" s="76" t="s">
        <v>258</v>
      </c>
      <c r="H5" s="127">
        <v>4.5</v>
      </c>
      <c r="I5" s="76" t="s">
        <v>720</v>
      </c>
      <c r="J5" s="127" t="s">
        <v>522</v>
      </c>
      <c r="K5" s="76">
        <v>33</v>
      </c>
      <c r="L5" s="76" t="s">
        <v>743</v>
      </c>
      <c r="M5" s="92" t="s">
        <v>1247</v>
      </c>
      <c r="N5" s="141" t="s">
        <v>1566</v>
      </c>
      <c r="O5" s="140" t="s">
        <v>383</v>
      </c>
      <c r="P5" s="140" t="s">
        <v>384</v>
      </c>
      <c r="Q5" s="140" t="s">
        <v>384</v>
      </c>
      <c r="R5" s="140" t="s">
        <v>384</v>
      </c>
      <c r="S5" s="140" t="s">
        <v>383</v>
      </c>
      <c r="T5" s="140" t="s">
        <v>383</v>
      </c>
      <c r="U5" s="140" t="s">
        <v>383</v>
      </c>
      <c r="V5" s="76" t="s">
        <v>419</v>
      </c>
      <c r="W5" s="76">
        <v>2000</v>
      </c>
      <c r="X5" s="76">
        <v>2014</v>
      </c>
      <c r="Y5" s="76">
        <f t="shared" si="0"/>
        <v>14</v>
      </c>
      <c r="Z5" s="76">
        <f t="shared" si="1"/>
        <v>0</v>
      </c>
      <c r="AA5" s="76">
        <v>13</v>
      </c>
      <c r="AB5" s="76">
        <v>1316</v>
      </c>
      <c r="AC5" s="76"/>
      <c r="AD5" s="75" t="s">
        <v>766</v>
      </c>
      <c r="AE5" s="76" t="s">
        <v>383</v>
      </c>
      <c r="AF5" s="76" t="s">
        <v>383</v>
      </c>
      <c r="AG5" s="111" t="s">
        <v>384</v>
      </c>
      <c r="AH5" s="76" t="s">
        <v>384</v>
      </c>
      <c r="AI5" s="76" t="s">
        <v>392</v>
      </c>
      <c r="AJ5" s="76" t="s">
        <v>383</v>
      </c>
      <c r="AK5" s="76" t="s">
        <v>392</v>
      </c>
      <c r="AL5" s="76" t="s">
        <v>392</v>
      </c>
      <c r="AM5" s="76"/>
      <c r="AN5" s="76" t="s">
        <v>392</v>
      </c>
      <c r="AO5" s="76" t="s">
        <v>1207</v>
      </c>
      <c r="AP5" s="120" t="s">
        <v>384</v>
      </c>
      <c r="AQ5" s="120" t="s">
        <v>383</v>
      </c>
      <c r="AR5" s="120" t="s">
        <v>384</v>
      </c>
      <c r="AS5" s="120" t="s">
        <v>383</v>
      </c>
      <c r="AT5" s="120" t="s">
        <v>383</v>
      </c>
      <c r="AU5" s="120" t="s">
        <v>383</v>
      </c>
      <c r="AV5" s="120" t="s">
        <v>384</v>
      </c>
      <c r="AW5" s="76" t="s">
        <v>745</v>
      </c>
      <c r="AX5" s="120" t="s">
        <v>383</v>
      </c>
      <c r="AY5" s="120" t="s">
        <v>384</v>
      </c>
      <c r="AZ5" s="120" t="s">
        <v>383</v>
      </c>
      <c r="BA5" s="120" t="s">
        <v>383</v>
      </c>
      <c r="BB5" s="120" t="s">
        <v>383</v>
      </c>
      <c r="BC5" s="120" t="s">
        <v>383</v>
      </c>
      <c r="BD5" s="120" t="s">
        <v>383</v>
      </c>
      <c r="BE5" s="76" t="s">
        <v>383</v>
      </c>
      <c r="BF5" s="76" t="s">
        <v>384</v>
      </c>
      <c r="BG5" s="76" t="s">
        <v>385</v>
      </c>
      <c r="BH5" s="76" t="s">
        <v>744</v>
      </c>
      <c r="BI5" s="76">
        <v>100</v>
      </c>
      <c r="BJ5" s="76" t="s">
        <v>384</v>
      </c>
      <c r="BK5" s="140" t="s">
        <v>1568</v>
      </c>
      <c r="BL5" s="76" t="s">
        <v>392</v>
      </c>
      <c r="BM5" s="76" t="s">
        <v>392</v>
      </c>
      <c r="BN5" s="76" t="s">
        <v>384</v>
      </c>
      <c r="BO5" s="76" t="s">
        <v>549</v>
      </c>
      <c r="BP5" s="76" t="s">
        <v>1100</v>
      </c>
      <c r="BQ5" s="76" t="s">
        <v>746</v>
      </c>
      <c r="BR5" s="76" t="s">
        <v>949</v>
      </c>
      <c r="BS5" s="76" t="s">
        <v>1248</v>
      </c>
      <c r="BT5" s="76" t="s">
        <v>438</v>
      </c>
      <c r="BU5" s="120" t="s">
        <v>384</v>
      </c>
      <c r="BV5" s="120" t="s">
        <v>383</v>
      </c>
      <c r="BW5" s="120" t="s">
        <v>383</v>
      </c>
      <c r="BX5" s="120" t="s">
        <v>383</v>
      </c>
      <c r="BY5" s="120" t="s">
        <v>383</v>
      </c>
      <c r="BZ5" s="120" t="s">
        <v>383</v>
      </c>
      <c r="CA5" s="120" t="s">
        <v>383</v>
      </c>
      <c r="CB5" s="76" t="s">
        <v>383</v>
      </c>
      <c r="CC5" s="76" t="s">
        <v>383</v>
      </c>
      <c r="CD5" s="76" t="s">
        <v>392</v>
      </c>
      <c r="CE5" s="76" t="s">
        <v>384</v>
      </c>
      <c r="CF5" s="76" t="s">
        <v>1048</v>
      </c>
      <c r="CG5" s="120" t="s">
        <v>384</v>
      </c>
      <c r="CH5" s="120" t="s">
        <v>384</v>
      </c>
      <c r="CI5" s="120" t="s">
        <v>384</v>
      </c>
      <c r="CJ5" s="120" t="s">
        <v>383</v>
      </c>
      <c r="CK5" s="120" t="s">
        <v>383</v>
      </c>
      <c r="CL5" s="76" t="s">
        <v>384</v>
      </c>
      <c r="CM5" s="76" t="s">
        <v>747</v>
      </c>
      <c r="CN5" s="120" t="s">
        <v>384</v>
      </c>
      <c r="CO5" s="120" t="s">
        <v>384</v>
      </c>
      <c r="CP5" s="120" t="s">
        <v>384</v>
      </c>
      <c r="CQ5" s="120" t="s">
        <v>383</v>
      </c>
      <c r="CR5" s="76" t="s">
        <v>383</v>
      </c>
      <c r="CS5" s="75" t="s">
        <v>384</v>
      </c>
      <c r="CT5" s="121" t="s">
        <v>383</v>
      </c>
      <c r="CU5" s="121" t="s">
        <v>383</v>
      </c>
      <c r="CV5" s="121" t="s">
        <v>384</v>
      </c>
      <c r="CW5" s="76" t="s">
        <v>384</v>
      </c>
      <c r="CX5" s="76" t="s">
        <v>383</v>
      </c>
      <c r="CY5" s="76" t="s">
        <v>383</v>
      </c>
      <c r="CZ5" s="76" t="s">
        <v>748</v>
      </c>
      <c r="DA5" s="76" t="s">
        <v>383</v>
      </c>
      <c r="DB5" s="76" t="s">
        <v>384</v>
      </c>
      <c r="DC5" s="76" t="s">
        <v>383</v>
      </c>
      <c r="DD5" s="75" t="s">
        <v>383</v>
      </c>
      <c r="DE5" s="76" t="s">
        <v>384</v>
      </c>
      <c r="DF5" s="76" t="s">
        <v>384</v>
      </c>
      <c r="DG5" s="76" t="s">
        <v>383</v>
      </c>
      <c r="DH5" s="76" t="s">
        <v>384</v>
      </c>
      <c r="DI5" s="76"/>
      <c r="DJ5" s="76" t="s">
        <v>384</v>
      </c>
      <c r="DK5" s="76" t="s">
        <v>383</v>
      </c>
      <c r="DL5" s="76" t="s">
        <v>383</v>
      </c>
      <c r="DM5" s="76" t="s">
        <v>383</v>
      </c>
      <c r="DN5" s="76" t="s">
        <v>1249</v>
      </c>
      <c r="DO5" s="76" t="s">
        <v>1250</v>
      </c>
      <c r="DP5" s="76" t="s">
        <v>383</v>
      </c>
      <c r="DQ5" s="76" t="s">
        <v>383</v>
      </c>
      <c r="DR5" s="76" t="s">
        <v>383</v>
      </c>
      <c r="DS5" s="76" t="s">
        <v>383</v>
      </c>
      <c r="DT5" s="76" t="s">
        <v>383</v>
      </c>
      <c r="DU5" s="76" t="s">
        <v>383</v>
      </c>
      <c r="DV5" s="76"/>
      <c r="DW5" s="111"/>
      <c r="DX5" s="76"/>
    </row>
    <row r="6" spans="1:128" ht="105">
      <c r="B6" s="72" t="s">
        <v>1359</v>
      </c>
      <c r="C6" s="111" t="s">
        <v>172</v>
      </c>
      <c r="D6" s="76" t="s">
        <v>1358</v>
      </c>
      <c r="E6" s="111">
        <v>2023</v>
      </c>
      <c r="F6" s="111" t="s">
        <v>381</v>
      </c>
      <c r="G6" s="111" t="s">
        <v>226</v>
      </c>
      <c r="H6" s="128" t="s">
        <v>1228</v>
      </c>
      <c r="I6" s="109" t="s">
        <v>946</v>
      </c>
      <c r="J6" s="127" t="s">
        <v>522</v>
      </c>
      <c r="K6" s="111">
        <v>5</v>
      </c>
      <c r="L6" s="111" t="s">
        <v>878</v>
      </c>
      <c r="M6" s="113" t="s">
        <v>1352</v>
      </c>
      <c r="N6" s="141" t="s">
        <v>1569</v>
      </c>
      <c r="O6" s="140" t="s">
        <v>383</v>
      </c>
      <c r="P6" s="140" t="s">
        <v>384</v>
      </c>
      <c r="Q6" s="140" t="s">
        <v>383</v>
      </c>
      <c r="R6" s="140" t="s">
        <v>383</v>
      </c>
      <c r="S6" s="140" t="s">
        <v>383</v>
      </c>
      <c r="T6" s="140" t="s">
        <v>383</v>
      </c>
      <c r="U6" s="140" t="s">
        <v>383</v>
      </c>
      <c r="V6" s="111" t="s">
        <v>879</v>
      </c>
      <c r="W6" s="111">
        <v>2012</v>
      </c>
      <c r="X6" s="111">
        <v>2021</v>
      </c>
      <c r="Y6" s="111">
        <f t="shared" si="0"/>
        <v>9</v>
      </c>
      <c r="Z6" s="111">
        <f t="shared" si="1"/>
        <v>2</v>
      </c>
      <c r="AA6" s="111">
        <v>23</v>
      </c>
      <c r="AB6" s="111">
        <v>684</v>
      </c>
      <c r="AC6" s="111"/>
      <c r="AD6" s="111" t="s">
        <v>1006</v>
      </c>
      <c r="AE6" s="111" t="s">
        <v>383</v>
      </c>
      <c r="AF6" s="111" t="s">
        <v>383</v>
      </c>
      <c r="AG6" s="111" t="s">
        <v>383</v>
      </c>
      <c r="AH6" s="111" t="s">
        <v>384</v>
      </c>
      <c r="AI6" s="111" t="s">
        <v>880</v>
      </c>
      <c r="AJ6" s="111" t="s">
        <v>383</v>
      </c>
      <c r="AK6" s="111" t="s">
        <v>392</v>
      </c>
      <c r="AL6" s="111" t="s">
        <v>392</v>
      </c>
      <c r="AM6" s="111"/>
      <c r="AN6" s="111" t="s">
        <v>1353</v>
      </c>
      <c r="AO6" s="111" t="s">
        <v>1187</v>
      </c>
      <c r="AP6" s="121" t="s">
        <v>383</v>
      </c>
      <c r="AQ6" s="121" t="s">
        <v>384</v>
      </c>
      <c r="AR6" s="121" t="s">
        <v>383</v>
      </c>
      <c r="AS6" s="121" t="s">
        <v>383</v>
      </c>
      <c r="AT6" s="121" t="s">
        <v>383</v>
      </c>
      <c r="AU6" s="120" t="s">
        <v>383</v>
      </c>
      <c r="AV6" s="121" t="s">
        <v>383</v>
      </c>
      <c r="AW6" s="111" t="s">
        <v>1109</v>
      </c>
      <c r="AX6" s="121" t="s">
        <v>384</v>
      </c>
      <c r="AY6" s="121" t="s">
        <v>384</v>
      </c>
      <c r="AZ6" s="121" t="s">
        <v>384</v>
      </c>
      <c r="BA6" s="121" t="s">
        <v>383</v>
      </c>
      <c r="BB6" s="121" t="s">
        <v>383</v>
      </c>
      <c r="BC6" s="121" t="s">
        <v>383</v>
      </c>
      <c r="BD6" s="121" t="s">
        <v>384</v>
      </c>
      <c r="BE6" s="111" t="s">
        <v>383</v>
      </c>
      <c r="BF6" s="111" t="s">
        <v>383</v>
      </c>
      <c r="BG6" s="111" t="s">
        <v>392</v>
      </c>
      <c r="BH6" s="111" t="s">
        <v>392</v>
      </c>
      <c r="BI6" s="111"/>
      <c r="BJ6" s="111" t="s">
        <v>384</v>
      </c>
      <c r="BK6" s="140" t="s">
        <v>1593</v>
      </c>
      <c r="BL6" s="111" t="s">
        <v>663</v>
      </c>
      <c r="BM6" s="111" t="s">
        <v>1354</v>
      </c>
      <c r="BN6" s="111" t="s">
        <v>384</v>
      </c>
      <c r="BO6" s="111" t="s">
        <v>479</v>
      </c>
      <c r="BP6" s="111" t="s">
        <v>1101</v>
      </c>
      <c r="BQ6" s="111" t="s">
        <v>432</v>
      </c>
      <c r="BR6" s="111" t="s">
        <v>386</v>
      </c>
      <c r="BS6" s="111" t="s">
        <v>1355</v>
      </c>
      <c r="BT6" s="111" t="s">
        <v>438</v>
      </c>
      <c r="BU6" s="121" t="s">
        <v>384</v>
      </c>
      <c r="BV6" s="121" t="s">
        <v>383</v>
      </c>
      <c r="BW6" s="121" t="s">
        <v>383</v>
      </c>
      <c r="BX6" s="121" t="s">
        <v>383</v>
      </c>
      <c r="BY6" s="121" t="s">
        <v>383</v>
      </c>
      <c r="BZ6" s="121" t="s">
        <v>383</v>
      </c>
      <c r="CA6" s="121" t="s">
        <v>383</v>
      </c>
      <c r="CB6" s="111" t="s">
        <v>383</v>
      </c>
      <c r="CC6" s="111" t="s">
        <v>384</v>
      </c>
      <c r="CD6" s="111" t="s">
        <v>992</v>
      </c>
      <c r="CE6" s="111" t="s">
        <v>384</v>
      </c>
      <c r="CF6" s="111" t="s">
        <v>881</v>
      </c>
      <c r="CG6" s="121" t="s">
        <v>384</v>
      </c>
      <c r="CH6" s="121" t="s">
        <v>384</v>
      </c>
      <c r="CI6" s="121" t="s">
        <v>384</v>
      </c>
      <c r="CJ6" s="121" t="s">
        <v>384</v>
      </c>
      <c r="CK6" s="121" t="s">
        <v>383</v>
      </c>
      <c r="CL6" s="111" t="s">
        <v>384</v>
      </c>
      <c r="CM6" s="111" t="s">
        <v>882</v>
      </c>
      <c r="CN6" s="121" t="s">
        <v>384</v>
      </c>
      <c r="CO6" s="121" t="s">
        <v>384</v>
      </c>
      <c r="CP6" s="121" t="s">
        <v>383</v>
      </c>
      <c r="CQ6" s="121" t="s">
        <v>383</v>
      </c>
      <c r="CR6" s="111" t="s">
        <v>384</v>
      </c>
      <c r="CS6" s="111" t="s">
        <v>440</v>
      </c>
      <c r="CT6" s="121" t="s">
        <v>384</v>
      </c>
      <c r="CU6" s="121" t="s">
        <v>383</v>
      </c>
      <c r="CV6" s="121" t="s">
        <v>383</v>
      </c>
      <c r="CW6" s="111" t="s">
        <v>383</v>
      </c>
      <c r="CX6" s="111" t="s">
        <v>383</v>
      </c>
      <c r="CY6" s="111" t="s">
        <v>383</v>
      </c>
      <c r="CZ6" s="111" t="s">
        <v>392</v>
      </c>
      <c r="DA6" s="111" t="s">
        <v>384</v>
      </c>
      <c r="DB6" s="111" t="s">
        <v>384</v>
      </c>
      <c r="DC6" s="111" t="s">
        <v>383</v>
      </c>
      <c r="DD6" s="111" t="s">
        <v>383</v>
      </c>
      <c r="DE6" s="111" t="s">
        <v>384</v>
      </c>
      <c r="DF6" s="75" t="s">
        <v>383</v>
      </c>
      <c r="DG6" s="111" t="s">
        <v>384</v>
      </c>
      <c r="DH6" s="111" t="s">
        <v>384</v>
      </c>
      <c r="DI6" s="111"/>
      <c r="DJ6" s="111" t="s">
        <v>384</v>
      </c>
      <c r="DK6" s="111" t="s">
        <v>383</v>
      </c>
      <c r="DL6" s="111" t="s">
        <v>383</v>
      </c>
      <c r="DM6" s="111" t="s">
        <v>383</v>
      </c>
      <c r="DN6" s="111" t="s">
        <v>1356</v>
      </c>
      <c r="DO6" s="111" t="s">
        <v>1357</v>
      </c>
      <c r="DP6" s="111" t="s">
        <v>383</v>
      </c>
      <c r="DQ6" s="111" t="s">
        <v>383</v>
      </c>
      <c r="DR6" s="111" t="s">
        <v>384</v>
      </c>
      <c r="DS6" s="111" t="s">
        <v>383</v>
      </c>
      <c r="DT6" s="111" t="s">
        <v>383</v>
      </c>
      <c r="DU6" s="111" t="s">
        <v>383</v>
      </c>
      <c r="DV6" s="111"/>
      <c r="DW6" s="111"/>
      <c r="DX6" s="111"/>
    </row>
    <row r="7" spans="1:128" ht="75.75">
      <c r="A7" s="99"/>
      <c r="B7" s="72" t="s">
        <v>329</v>
      </c>
      <c r="C7" s="76" t="s">
        <v>175</v>
      </c>
      <c r="D7" s="76" t="s">
        <v>310</v>
      </c>
      <c r="E7" s="76">
        <v>2022</v>
      </c>
      <c r="F7" s="76" t="s">
        <v>822</v>
      </c>
      <c r="G7" s="76" t="s">
        <v>240</v>
      </c>
      <c r="H7" s="127" t="s">
        <v>1228</v>
      </c>
      <c r="I7" s="76" t="s">
        <v>720</v>
      </c>
      <c r="J7" s="127" t="s">
        <v>522</v>
      </c>
      <c r="K7" s="76">
        <v>0</v>
      </c>
      <c r="L7" s="76" t="s">
        <v>769</v>
      </c>
      <c r="M7" s="92" t="s">
        <v>1251</v>
      </c>
      <c r="N7" s="141" t="s">
        <v>1577</v>
      </c>
      <c r="O7" s="140" t="s">
        <v>383</v>
      </c>
      <c r="P7" s="140" t="s">
        <v>384</v>
      </c>
      <c r="Q7" s="140" t="s">
        <v>383</v>
      </c>
      <c r="R7" s="140" t="s">
        <v>384</v>
      </c>
      <c r="S7" s="140" t="s">
        <v>383</v>
      </c>
      <c r="T7" s="140" t="s">
        <v>383</v>
      </c>
      <c r="U7" s="140" t="s">
        <v>383</v>
      </c>
      <c r="V7" s="76" t="s">
        <v>419</v>
      </c>
      <c r="W7" s="76">
        <v>2000</v>
      </c>
      <c r="X7" s="111">
        <v>2021</v>
      </c>
      <c r="Y7" s="76">
        <f t="shared" si="0"/>
        <v>21</v>
      </c>
      <c r="Z7" s="76">
        <f t="shared" si="1"/>
        <v>1</v>
      </c>
      <c r="AA7" s="76">
        <v>131</v>
      </c>
      <c r="AB7" s="75">
        <v>8479</v>
      </c>
      <c r="AC7" s="75">
        <v>942976</v>
      </c>
      <c r="AD7" s="76" t="s">
        <v>771</v>
      </c>
      <c r="AE7" s="76" t="s">
        <v>383</v>
      </c>
      <c r="AF7" s="76" t="s">
        <v>383</v>
      </c>
      <c r="AG7" s="76" t="s">
        <v>383</v>
      </c>
      <c r="AH7" s="76" t="s">
        <v>384</v>
      </c>
      <c r="AI7" s="76" t="s">
        <v>770</v>
      </c>
      <c r="AJ7" s="111" t="s">
        <v>384</v>
      </c>
      <c r="AK7" s="76" t="s">
        <v>772</v>
      </c>
      <c r="AL7" s="111" t="s">
        <v>773</v>
      </c>
      <c r="AM7" s="111">
        <v>8.34</v>
      </c>
      <c r="AN7" s="76" t="s">
        <v>1252</v>
      </c>
      <c r="AO7" s="76" t="s">
        <v>455</v>
      </c>
      <c r="AP7" s="120" t="s">
        <v>383</v>
      </c>
      <c r="AQ7" s="120" t="s">
        <v>383</v>
      </c>
      <c r="AR7" s="120" t="s">
        <v>383</v>
      </c>
      <c r="AS7" s="120" t="s">
        <v>384</v>
      </c>
      <c r="AT7" s="120" t="s">
        <v>383</v>
      </c>
      <c r="AU7" s="120" t="s">
        <v>383</v>
      </c>
      <c r="AV7" s="120" t="s">
        <v>383</v>
      </c>
      <c r="AW7" s="76" t="s">
        <v>775</v>
      </c>
      <c r="AX7" s="120" t="s">
        <v>384</v>
      </c>
      <c r="AY7" s="120" t="s">
        <v>384</v>
      </c>
      <c r="AZ7" s="120" t="s">
        <v>384</v>
      </c>
      <c r="BA7" s="120" t="s">
        <v>383</v>
      </c>
      <c r="BB7" s="120" t="s">
        <v>383</v>
      </c>
      <c r="BC7" s="120" t="s">
        <v>383</v>
      </c>
      <c r="BD7" s="120" t="s">
        <v>383</v>
      </c>
      <c r="BE7" s="76" t="s">
        <v>383</v>
      </c>
      <c r="BF7" s="76" t="s">
        <v>384</v>
      </c>
      <c r="BG7" s="76" t="s">
        <v>385</v>
      </c>
      <c r="BH7" s="76" t="s">
        <v>840</v>
      </c>
      <c r="BI7" s="76"/>
      <c r="BJ7" s="76" t="s">
        <v>383</v>
      </c>
      <c r="BK7" s="140"/>
      <c r="BL7" s="76" t="s">
        <v>392</v>
      </c>
      <c r="BM7" s="76" t="s">
        <v>392</v>
      </c>
      <c r="BN7" s="76" t="s">
        <v>384</v>
      </c>
      <c r="BO7" s="76" t="s">
        <v>479</v>
      </c>
      <c r="BP7" s="76" t="s">
        <v>1102</v>
      </c>
      <c r="BQ7" s="76" t="s">
        <v>542</v>
      </c>
      <c r="BR7" s="76" t="s">
        <v>386</v>
      </c>
      <c r="BS7" s="75" t="s">
        <v>1253</v>
      </c>
      <c r="BT7" s="76" t="s">
        <v>438</v>
      </c>
      <c r="BU7" s="120" t="s">
        <v>384</v>
      </c>
      <c r="BV7" s="120" t="s">
        <v>383</v>
      </c>
      <c r="BW7" s="120" t="s">
        <v>383</v>
      </c>
      <c r="BX7" s="120" t="s">
        <v>383</v>
      </c>
      <c r="BY7" s="120" t="s">
        <v>383</v>
      </c>
      <c r="BZ7" s="120" t="s">
        <v>383</v>
      </c>
      <c r="CA7" s="120" t="s">
        <v>383</v>
      </c>
      <c r="CB7" s="76" t="s">
        <v>384</v>
      </c>
      <c r="CC7" s="75" t="s">
        <v>384</v>
      </c>
      <c r="CD7" s="75" t="s">
        <v>383</v>
      </c>
      <c r="CE7" s="76" t="s">
        <v>384</v>
      </c>
      <c r="CF7" s="76" t="s">
        <v>777</v>
      </c>
      <c r="CG7" s="120" t="s">
        <v>384</v>
      </c>
      <c r="CH7" s="120" t="s">
        <v>384</v>
      </c>
      <c r="CI7" s="120" t="s">
        <v>384</v>
      </c>
      <c r="CJ7" s="120" t="s">
        <v>383</v>
      </c>
      <c r="CK7" s="120" t="s">
        <v>384</v>
      </c>
      <c r="CL7" s="76" t="s">
        <v>384</v>
      </c>
      <c r="CM7" s="76" t="s">
        <v>778</v>
      </c>
      <c r="CN7" s="120" t="s">
        <v>384</v>
      </c>
      <c r="CO7" s="120" t="s">
        <v>384</v>
      </c>
      <c r="CP7" s="120" t="s">
        <v>383</v>
      </c>
      <c r="CQ7" s="120" t="s">
        <v>383</v>
      </c>
      <c r="CR7" s="76" t="s">
        <v>384</v>
      </c>
      <c r="CS7" s="76" t="s">
        <v>1052</v>
      </c>
      <c r="CT7" s="120" t="s">
        <v>384</v>
      </c>
      <c r="CU7" s="120" t="s">
        <v>384</v>
      </c>
      <c r="CV7" s="120" t="s">
        <v>383</v>
      </c>
      <c r="CW7" s="76" t="s">
        <v>384</v>
      </c>
      <c r="CX7" s="76" t="s">
        <v>383</v>
      </c>
      <c r="CY7" s="76" t="s">
        <v>383</v>
      </c>
      <c r="CZ7" s="76" t="s">
        <v>776</v>
      </c>
      <c r="DA7" s="76" t="s">
        <v>384</v>
      </c>
      <c r="DB7" s="76" t="s">
        <v>384</v>
      </c>
      <c r="DC7" s="76" t="s">
        <v>383</v>
      </c>
      <c r="DD7" s="76" t="s">
        <v>384</v>
      </c>
      <c r="DE7" s="76" t="s">
        <v>384</v>
      </c>
      <c r="DF7" s="76" t="s">
        <v>384</v>
      </c>
      <c r="DG7" s="76" t="s">
        <v>384</v>
      </c>
      <c r="DH7" s="76" t="s">
        <v>383</v>
      </c>
      <c r="DI7" s="76" t="s">
        <v>1059</v>
      </c>
      <c r="DJ7" s="76" t="s">
        <v>384</v>
      </c>
      <c r="DK7" s="76" t="s">
        <v>383</v>
      </c>
      <c r="DL7" s="76" t="s">
        <v>383</v>
      </c>
      <c r="DM7" s="76" t="s">
        <v>383</v>
      </c>
      <c r="DN7" s="76"/>
      <c r="DO7" s="76" t="s">
        <v>1254</v>
      </c>
      <c r="DP7" s="76" t="s">
        <v>383</v>
      </c>
      <c r="DQ7" s="76" t="s">
        <v>383</v>
      </c>
      <c r="DR7" s="76" t="s">
        <v>384</v>
      </c>
      <c r="DS7" s="76" t="s">
        <v>383</v>
      </c>
      <c r="DT7" s="76" t="s">
        <v>383</v>
      </c>
      <c r="DU7" s="76" t="s">
        <v>383</v>
      </c>
      <c r="DV7" s="76"/>
      <c r="DW7" s="111" t="s">
        <v>1078</v>
      </c>
      <c r="DX7" s="76"/>
    </row>
    <row r="8" spans="1:128" ht="15" customHeight="1">
      <c r="B8" s="72" t="s">
        <v>347</v>
      </c>
      <c r="C8" s="76" t="s">
        <v>193</v>
      </c>
      <c r="D8" s="76" t="s">
        <v>312</v>
      </c>
      <c r="E8" s="76">
        <v>2004</v>
      </c>
      <c r="F8" s="76" t="s">
        <v>1639</v>
      </c>
      <c r="G8" s="115" t="s">
        <v>255</v>
      </c>
      <c r="H8" s="127" t="s">
        <v>1228</v>
      </c>
      <c r="I8" s="109" t="s">
        <v>946</v>
      </c>
      <c r="J8" s="127" t="s">
        <v>1229</v>
      </c>
      <c r="K8" s="76">
        <v>9</v>
      </c>
      <c r="L8" s="76" t="s">
        <v>855</v>
      </c>
      <c r="M8" s="92" t="s">
        <v>1255</v>
      </c>
      <c r="N8" s="141" t="s">
        <v>1577</v>
      </c>
      <c r="O8" s="140" t="s">
        <v>383</v>
      </c>
      <c r="P8" s="140" t="s">
        <v>384</v>
      </c>
      <c r="Q8" s="140" t="s">
        <v>383</v>
      </c>
      <c r="R8" s="140" t="s">
        <v>384</v>
      </c>
      <c r="S8" s="140" t="s">
        <v>383</v>
      </c>
      <c r="T8" s="140" t="s">
        <v>383</v>
      </c>
      <c r="U8" s="140" t="s">
        <v>383</v>
      </c>
      <c r="V8" s="76" t="s">
        <v>588</v>
      </c>
      <c r="W8" s="76">
        <v>2002</v>
      </c>
      <c r="X8" s="76">
        <v>2002</v>
      </c>
      <c r="Y8" s="76">
        <f t="shared" si="0"/>
        <v>0</v>
      </c>
      <c r="Z8" s="76">
        <f t="shared" si="1"/>
        <v>2</v>
      </c>
      <c r="AA8" s="76">
        <v>91</v>
      </c>
      <c r="AB8" s="111"/>
      <c r="AC8" s="76"/>
      <c r="AD8" s="76" t="s">
        <v>856</v>
      </c>
      <c r="AE8" s="76" t="s">
        <v>383</v>
      </c>
      <c r="AF8" s="76" t="s">
        <v>383</v>
      </c>
      <c r="AG8" s="76" t="s">
        <v>383</v>
      </c>
      <c r="AH8" s="76" t="s">
        <v>384</v>
      </c>
      <c r="AI8" s="76" t="s">
        <v>857</v>
      </c>
      <c r="AJ8" s="76" t="s">
        <v>383</v>
      </c>
      <c r="AK8" s="76" t="s">
        <v>392</v>
      </c>
      <c r="AL8" s="76" t="s">
        <v>392</v>
      </c>
      <c r="AM8" s="76"/>
      <c r="AN8" s="76" t="s">
        <v>392</v>
      </c>
      <c r="AO8" s="76" t="s">
        <v>1206</v>
      </c>
      <c r="AP8" s="120" t="s">
        <v>384</v>
      </c>
      <c r="AQ8" s="120" t="s">
        <v>383</v>
      </c>
      <c r="AR8" s="120" t="s">
        <v>384</v>
      </c>
      <c r="AS8" s="120" t="s">
        <v>383</v>
      </c>
      <c r="AT8" s="120" t="s">
        <v>384</v>
      </c>
      <c r="AU8" s="120" t="s">
        <v>383</v>
      </c>
      <c r="AV8" s="120" t="s">
        <v>383</v>
      </c>
      <c r="AW8" s="76" t="s">
        <v>1111</v>
      </c>
      <c r="AX8" s="120" t="s">
        <v>383</v>
      </c>
      <c r="AY8" s="120" t="s">
        <v>383</v>
      </c>
      <c r="AZ8" s="120" t="s">
        <v>384</v>
      </c>
      <c r="BA8" s="120" t="s">
        <v>384</v>
      </c>
      <c r="BB8" s="120" t="s">
        <v>384</v>
      </c>
      <c r="BC8" s="120" t="s">
        <v>383</v>
      </c>
      <c r="BD8" s="120" t="s">
        <v>384</v>
      </c>
      <c r="BE8" s="76" t="s">
        <v>383</v>
      </c>
      <c r="BF8" s="76" t="s">
        <v>383</v>
      </c>
      <c r="BG8" s="76" t="s">
        <v>392</v>
      </c>
      <c r="BH8" s="76" t="s">
        <v>392</v>
      </c>
      <c r="BI8" s="76"/>
      <c r="BJ8" s="76" t="s">
        <v>383</v>
      </c>
      <c r="BK8" s="140"/>
      <c r="BL8" s="76" t="s">
        <v>392</v>
      </c>
      <c r="BM8" s="76" t="s">
        <v>392</v>
      </c>
      <c r="BN8" s="76" t="s">
        <v>383</v>
      </c>
      <c r="BO8" s="76" t="s">
        <v>392</v>
      </c>
      <c r="BP8" s="76" t="s">
        <v>392</v>
      </c>
      <c r="BQ8" s="76" t="s">
        <v>392</v>
      </c>
      <c r="BR8" s="76" t="s">
        <v>392</v>
      </c>
      <c r="BS8" s="75" t="s">
        <v>1030</v>
      </c>
      <c r="BT8" s="111" t="s">
        <v>1089</v>
      </c>
      <c r="BU8" s="121" t="s">
        <v>383</v>
      </c>
      <c r="BV8" s="121" t="s">
        <v>383</v>
      </c>
      <c r="BW8" s="121" t="s">
        <v>383</v>
      </c>
      <c r="BX8" s="121" t="s">
        <v>383</v>
      </c>
      <c r="BY8" s="121" t="s">
        <v>383</v>
      </c>
      <c r="BZ8" s="121" t="s">
        <v>383</v>
      </c>
      <c r="CA8" s="121" t="s">
        <v>383</v>
      </c>
      <c r="CB8" s="76" t="s">
        <v>383</v>
      </c>
      <c r="CC8" s="76" t="s">
        <v>384</v>
      </c>
      <c r="CD8" s="76" t="s">
        <v>1092</v>
      </c>
      <c r="CE8" s="76" t="s">
        <v>383</v>
      </c>
      <c r="CF8" s="76" t="s">
        <v>383</v>
      </c>
      <c r="CG8" s="120" t="s">
        <v>383</v>
      </c>
      <c r="CH8" s="120" t="s">
        <v>383</v>
      </c>
      <c r="CI8" s="120" t="s">
        <v>383</v>
      </c>
      <c r="CJ8" s="120" t="s">
        <v>383</v>
      </c>
      <c r="CK8" s="120" t="s">
        <v>383</v>
      </c>
      <c r="CL8" s="76" t="s">
        <v>383</v>
      </c>
      <c r="CM8" s="76" t="s">
        <v>383</v>
      </c>
      <c r="CN8" s="120" t="s">
        <v>383</v>
      </c>
      <c r="CO8" s="120" t="s">
        <v>383</v>
      </c>
      <c r="CP8" s="120" t="s">
        <v>383</v>
      </c>
      <c r="CQ8" s="120" t="s">
        <v>383</v>
      </c>
      <c r="CR8" s="76" t="s">
        <v>383</v>
      </c>
      <c r="CS8" s="76" t="s">
        <v>383</v>
      </c>
      <c r="CT8" s="120" t="s">
        <v>383</v>
      </c>
      <c r="CU8" s="120" t="s">
        <v>383</v>
      </c>
      <c r="CV8" s="120" t="s">
        <v>383</v>
      </c>
      <c r="CW8" s="76" t="s">
        <v>383</v>
      </c>
      <c r="CX8" s="76" t="s">
        <v>383</v>
      </c>
      <c r="CY8" s="76" t="s">
        <v>383</v>
      </c>
      <c r="CZ8" s="92" t="s">
        <v>874</v>
      </c>
      <c r="DA8" s="76" t="s">
        <v>384</v>
      </c>
      <c r="DB8" s="76" t="s">
        <v>383</v>
      </c>
      <c r="DC8" s="76" t="s">
        <v>384</v>
      </c>
      <c r="DD8" s="76" t="s">
        <v>383</v>
      </c>
      <c r="DE8" s="76" t="s">
        <v>384</v>
      </c>
      <c r="DF8" s="75" t="s">
        <v>383</v>
      </c>
      <c r="DG8" s="76" t="s">
        <v>383</v>
      </c>
      <c r="DH8" s="76" t="s">
        <v>383</v>
      </c>
      <c r="DI8" s="76"/>
      <c r="DJ8" s="76" t="s">
        <v>384</v>
      </c>
      <c r="DK8" s="76" t="s">
        <v>383</v>
      </c>
      <c r="DL8" s="76" t="s">
        <v>383</v>
      </c>
      <c r="DM8" s="76" t="s">
        <v>383</v>
      </c>
      <c r="DN8" s="76"/>
      <c r="DO8" s="76"/>
      <c r="DP8" s="76" t="s">
        <v>383</v>
      </c>
      <c r="DQ8" s="76" t="s">
        <v>383</v>
      </c>
      <c r="DR8" s="76" t="s">
        <v>383</v>
      </c>
      <c r="DS8" s="76" t="s">
        <v>383</v>
      </c>
      <c r="DT8" s="76" t="s">
        <v>383</v>
      </c>
      <c r="DU8" s="76" t="s">
        <v>383</v>
      </c>
      <c r="DV8" s="76"/>
      <c r="DW8" s="111"/>
      <c r="DX8" s="76"/>
    </row>
    <row r="9" spans="1:128" ht="15" customHeight="1">
      <c r="B9" s="110" t="s">
        <v>367</v>
      </c>
      <c r="C9" s="111" t="s">
        <v>213</v>
      </c>
      <c r="D9" s="111" t="s">
        <v>305</v>
      </c>
      <c r="E9" s="111">
        <v>2018</v>
      </c>
      <c r="F9" s="111" t="s">
        <v>381</v>
      </c>
      <c r="G9" s="111" t="s">
        <v>237</v>
      </c>
      <c r="H9" s="127">
        <v>3.1</v>
      </c>
      <c r="I9" s="111" t="s">
        <v>787</v>
      </c>
      <c r="J9" s="128" t="s">
        <v>1230</v>
      </c>
      <c r="K9" s="111">
        <v>33</v>
      </c>
      <c r="L9" s="111" t="s">
        <v>953</v>
      </c>
      <c r="M9" s="113" t="s">
        <v>1259</v>
      </c>
      <c r="N9" s="141" t="s">
        <v>1571</v>
      </c>
      <c r="O9" s="140" t="s">
        <v>383</v>
      </c>
      <c r="P9" s="140" t="s">
        <v>383</v>
      </c>
      <c r="Q9" s="140" t="s">
        <v>384</v>
      </c>
      <c r="R9" s="140" t="s">
        <v>384</v>
      </c>
      <c r="S9" s="140" t="s">
        <v>383</v>
      </c>
      <c r="T9" s="140" t="s">
        <v>383</v>
      </c>
      <c r="U9" s="140" t="s">
        <v>383</v>
      </c>
      <c r="V9" s="111" t="s">
        <v>588</v>
      </c>
      <c r="W9" s="111">
        <v>1999</v>
      </c>
      <c r="X9" s="111">
        <v>2015</v>
      </c>
      <c r="Y9" s="111">
        <f t="shared" si="0"/>
        <v>16</v>
      </c>
      <c r="Z9" s="111">
        <f t="shared" si="1"/>
        <v>3</v>
      </c>
      <c r="AA9" s="111">
        <v>16</v>
      </c>
      <c r="AB9" s="111">
        <v>493</v>
      </c>
      <c r="AC9" s="111">
        <v>3036749</v>
      </c>
      <c r="AD9" s="111" t="s">
        <v>954</v>
      </c>
      <c r="AE9" s="111" t="s">
        <v>383</v>
      </c>
      <c r="AF9" s="111" t="s">
        <v>383</v>
      </c>
      <c r="AG9" s="111" t="s">
        <v>384</v>
      </c>
      <c r="AH9" s="111" t="s">
        <v>384</v>
      </c>
      <c r="AI9" s="111" t="s">
        <v>907</v>
      </c>
      <c r="AJ9" s="111" t="s">
        <v>384</v>
      </c>
      <c r="AK9" s="111" t="s">
        <v>392</v>
      </c>
      <c r="AL9" s="111" t="s">
        <v>392</v>
      </c>
      <c r="AM9" s="111">
        <v>100</v>
      </c>
      <c r="AN9" s="111" t="s">
        <v>1256</v>
      </c>
      <c r="AO9" s="111" t="s">
        <v>1205</v>
      </c>
      <c r="AP9" s="121" t="s">
        <v>383</v>
      </c>
      <c r="AQ9" s="121" t="s">
        <v>383</v>
      </c>
      <c r="AR9" s="121" t="s">
        <v>383</v>
      </c>
      <c r="AS9" s="121" t="s">
        <v>383</v>
      </c>
      <c r="AT9" s="121" t="s">
        <v>384</v>
      </c>
      <c r="AU9" s="120" t="s">
        <v>383</v>
      </c>
      <c r="AV9" s="121" t="s">
        <v>383</v>
      </c>
      <c r="AW9" s="111" t="s">
        <v>1110</v>
      </c>
      <c r="AX9" s="121" t="s">
        <v>384</v>
      </c>
      <c r="AY9" s="121" t="s">
        <v>384</v>
      </c>
      <c r="AZ9" s="121" t="s">
        <v>384</v>
      </c>
      <c r="BA9" s="121" t="s">
        <v>383</v>
      </c>
      <c r="BB9" s="121" t="s">
        <v>384</v>
      </c>
      <c r="BC9" s="121" t="s">
        <v>383</v>
      </c>
      <c r="BD9" s="121" t="s">
        <v>383</v>
      </c>
      <c r="BE9" s="111" t="s">
        <v>795</v>
      </c>
      <c r="BF9" s="111" t="s">
        <v>384</v>
      </c>
      <c r="BG9" s="111" t="s">
        <v>392</v>
      </c>
      <c r="BH9" s="111" t="s">
        <v>392</v>
      </c>
      <c r="BI9" s="111">
        <v>100</v>
      </c>
      <c r="BJ9" s="111" t="s">
        <v>384</v>
      </c>
      <c r="BK9" s="140" t="s">
        <v>1594</v>
      </c>
      <c r="BL9" s="111" t="s">
        <v>663</v>
      </c>
      <c r="BM9" s="111" t="s">
        <v>1535</v>
      </c>
      <c r="BN9" s="111" t="s">
        <v>384</v>
      </c>
      <c r="BO9" s="111" t="s">
        <v>479</v>
      </c>
      <c r="BP9" s="111" t="s">
        <v>955</v>
      </c>
      <c r="BQ9" s="111" t="s">
        <v>432</v>
      </c>
      <c r="BR9" s="111" t="s">
        <v>386</v>
      </c>
      <c r="BS9" s="111" t="s">
        <v>1257</v>
      </c>
      <c r="BT9" s="111" t="s">
        <v>438</v>
      </c>
      <c r="BU9" s="121" t="s">
        <v>384</v>
      </c>
      <c r="BV9" s="121" t="s">
        <v>383</v>
      </c>
      <c r="BW9" s="121" t="s">
        <v>383</v>
      </c>
      <c r="BX9" s="121" t="s">
        <v>383</v>
      </c>
      <c r="BY9" s="121" t="s">
        <v>383</v>
      </c>
      <c r="BZ9" s="121" t="s">
        <v>383</v>
      </c>
      <c r="CA9" s="121" t="s">
        <v>383</v>
      </c>
      <c r="CB9" s="111" t="s">
        <v>383</v>
      </c>
      <c r="CC9" s="111" t="s">
        <v>384</v>
      </c>
      <c r="CD9" s="111" t="s">
        <v>956</v>
      </c>
      <c r="CE9" s="111" t="s">
        <v>383</v>
      </c>
      <c r="CF9" s="111" t="s">
        <v>383</v>
      </c>
      <c r="CG9" s="121" t="s">
        <v>383</v>
      </c>
      <c r="CH9" s="121" t="s">
        <v>383</v>
      </c>
      <c r="CI9" s="121" t="s">
        <v>383</v>
      </c>
      <c r="CJ9" s="121" t="s">
        <v>383</v>
      </c>
      <c r="CK9" s="121" t="s">
        <v>383</v>
      </c>
      <c r="CL9" s="111" t="s">
        <v>384</v>
      </c>
      <c r="CM9" s="111" t="s">
        <v>957</v>
      </c>
      <c r="CN9" s="121" t="s">
        <v>384</v>
      </c>
      <c r="CO9" s="121" t="s">
        <v>383</v>
      </c>
      <c r="CP9" s="121" t="s">
        <v>384</v>
      </c>
      <c r="CQ9" s="121" t="s">
        <v>383</v>
      </c>
      <c r="CR9" s="111" t="s">
        <v>384</v>
      </c>
      <c r="CS9" s="111" t="s">
        <v>440</v>
      </c>
      <c r="CT9" s="121" t="s">
        <v>384</v>
      </c>
      <c r="CU9" s="121" t="s">
        <v>383</v>
      </c>
      <c r="CV9" s="121" t="s">
        <v>383</v>
      </c>
      <c r="CW9" s="111" t="s">
        <v>384</v>
      </c>
      <c r="CX9" s="111" t="s">
        <v>383</v>
      </c>
      <c r="CY9" s="111" t="s">
        <v>383</v>
      </c>
      <c r="CZ9" s="111" t="s">
        <v>392</v>
      </c>
      <c r="DA9" s="111" t="s">
        <v>384</v>
      </c>
      <c r="DB9" s="111" t="s">
        <v>383</v>
      </c>
      <c r="DC9" s="111" t="s">
        <v>383</v>
      </c>
      <c r="DD9" s="111" t="s">
        <v>384</v>
      </c>
      <c r="DE9" s="111" t="s">
        <v>384</v>
      </c>
      <c r="DF9" s="111" t="s">
        <v>384</v>
      </c>
      <c r="DG9" s="111" t="s">
        <v>384</v>
      </c>
      <c r="DH9" s="111" t="s">
        <v>383</v>
      </c>
      <c r="DI9" s="111"/>
      <c r="DJ9" s="111" t="s">
        <v>384</v>
      </c>
      <c r="DK9" s="111" t="s">
        <v>383</v>
      </c>
      <c r="DL9" s="111" t="s">
        <v>383</v>
      </c>
      <c r="DM9" s="111" t="s">
        <v>384</v>
      </c>
      <c r="DN9" s="111" t="s">
        <v>1258</v>
      </c>
      <c r="DO9" s="111" t="s">
        <v>1537</v>
      </c>
      <c r="DP9" s="111" t="s">
        <v>384</v>
      </c>
      <c r="DQ9" s="111" t="s">
        <v>383</v>
      </c>
      <c r="DR9" s="111" t="s">
        <v>383</v>
      </c>
      <c r="DS9" s="111" t="s">
        <v>384</v>
      </c>
      <c r="DT9" s="111" t="s">
        <v>383</v>
      </c>
      <c r="DU9" s="111" t="s">
        <v>384</v>
      </c>
      <c r="DV9" s="111"/>
      <c r="DW9" s="111"/>
      <c r="DX9" s="111"/>
    </row>
    <row r="10" spans="1:128" ht="15" customHeight="1">
      <c r="B10" s="72" t="s">
        <v>365</v>
      </c>
      <c r="C10" s="76" t="s">
        <v>211</v>
      </c>
      <c r="D10" s="76" t="s">
        <v>290</v>
      </c>
      <c r="E10" s="76">
        <v>2017</v>
      </c>
      <c r="F10" s="76" t="s">
        <v>381</v>
      </c>
      <c r="G10" s="115" t="s">
        <v>269</v>
      </c>
      <c r="H10" s="127">
        <v>8.1999999999999993</v>
      </c>
      <c r="I10" s="76" t="s">
        <v>687</v>
      </c>
      <c r="J10" s="127" t="s">
        <v>1231</v>
      </c>
      <c r="K10" s="76">
        <v>68</v>
      </c>
      <c r="L10" s="76" t="s">
        <v>689</v>
      </c>
      <c r="M10" s="92" t="s">
        <v>1260</v>
      </c>
      <c r="N10" s="141" t="s">
        <v>1572</v>
      </c>
      <c r="O10" s="140" t="s">
        <v>383</v>
      </c>
      <c r="P10" s="140" t="s">
        <v>383</v>
      </c>
      <c r="Q10" s="140" t="s">
        <v>383</v>
      </c>
      <c r="R10" s="140" t="s">
        <v>384</v>
      </c>
      <c r="S10" s="140" t="s">
        <v>383</v>
      </c>
      <c r="T10" s="140" t="s">
        <v>383</v>
      </c>
      <c r="U10" s="140" t="s">
        <v>383</v>
      </c>
      <c r="V10" s="76" t="s">
        <v>690</v>
      </c>
      <c r="W10" s="76">
        <v>2009</v>
      </c>
      <c r="X10" s="76">
        <v>2011</v>
      </c>
      <c r="Y10" s="76">
        <f t="shared" si="0"/>
        <v>2</v>
      </c>
      <c r="Z10" s="76">
        <f t="shared" si="1"/>
        <v>6</v>
      </c>
      <c r="AA10" s="76">
        <v>3</v>
      </c>
      <c r="AB10" s="76">
        <v>40</v>
      </c>
      <c r="AC10" s="111">
        <v>15860</v>
      </c>
      <c r="AD10" s="76" t="s">
        <v>691</v>
      </c>
      <c r="AE10" s="76" t="s">
        <v>383</v>
      </c>
      <c r="AF10" s="76" t="s">
        <v>383</v>
      </c>
      <c r="AG10" s="76" t="s">
        <v>383</v>
      </c>
      <c r="AH10" s="76" t="s">
        <v>384</v>
      </c>
      <c r="AI10" s="76" t="s">
        <v>392</v>
      </c>
      <c r="AJ10" s="76" t="s">
        <v>383</v>
      </c>
      <c r="AK10" s="76" t="s">
        <v>392</v>
      </c>
      <c r="AL10" s="76" t="s">
        <v>392</v>
      </c>
      <c r="AM10" s="76"/>
      <c r="AN10" s="76" t="s">
        <v>392</v>
      </c>
      <c r="AO10" s="76" t="s">
        <v>1204</v>
      </c>
      <c r="AP10" s="120" t="s">
        <v>383</v>
      </c>
      <c r="AQ10" s="120" t="s">
        <v>383</v>
      </c>
      <c r="AR10" s="120" t="s">
        <v>383</v>
      </c>
      <c r="AS10" s="120" t="s">
        <v>383</v>
      </c>
      <c r="AT10" s="120" t="s">
        <v>384</v>
      </c>
      <c r="AU10" s="120" t="s">
        <v>383</v>
      </c>
      <c r="AV10" s="120" t="s">
        <v>383</v>
      </c>
      <c r="AW10" s="76" t="s">
        <v>989</v>
      </c>
      <c r="AX10" s="120" t="s">
        <v>384</v>
      </c>
      <c r="AY10" s="120" t="s">
        <v>383</v>
      </c>
      <c r="AZ10" s="120" t="s">
        <v>383</v>
      </c>
      <c r="BA10" s="120" t="s">
        <v>383</v>
      </c>
      <c r="BB10" s="120" t="s">
        <v>383</v>
      </c>
      <c r="BC10" s="120" t="s">
        <v>383</v>
      </c>
      <c r="BD10" s="120" t="s">
        <v>383</v>
      </c>
      <c r="BE10" s="76" t="s">
        <v>383</v>
      </c>
      <c r="BF10" s="76" t="s">
        <v>383</v>
      </c>
      <c r="BG10" s="76" t="s">
        <v>392</v>
      </c>
      <c r="BH10" s="76" t="s">
        <v>392</v>
      </c>
      <c r="BI10" s="76"/>
      <c r="BJ10" s="76" t="s">
        <v>384</v>
      </c>
      <c r="BK10" s="140" t="s">
        <v>1601</v>
      </c>
      <c r="BL10" s="76" t="s">
        <v>1022</v>
      </c>
      <c r="BM10" s="76" t="s">
        <v>392</v>
      </c>
      <c r="BN10" s="76" t="s">
        <v>383</v>
      </c>
      <c r="BO10" s="76" t="s">
        <v>392</v>
      </c>
      <c r="BP10" s="76" t="s">
        <v>392</v>
      </c>
      <c r="BQ10" s="76" t="s">
        <v>392</v>
      </c>
      <c r="BR10" s="76" t="s">
        <v>392</v>
      </c>
      <c r="BS10" s="76" t="s">
        <v>1534</v>
      </c>
      <c r="BT10" s="76" t="s">
        <v>694</v>
      </c>
      <c r="BU10" s="120" t="s">
        <v>383</v>
      </c>
      <c r="BV10" s="120" t="s">
        <v>383</v>
      </c>
      <c r="BW10" s="120" t="s">
        <v>383</v>
      </c>
      <c r="BX10" s="120" t="s">
        <v>383</v>
      </c>
      <c r="BY10" s="120" t="s">
        <v>383</v>
      </c>
      <c r="BZ10" s="120" t="s">
        <v>384</v>
      </c>
      <c r="CA10" s="120" t="s">
        <v>383</v>
      </c>
      <c r="CB10" s="76" t="s">
        <v>383</v>
      </c>
      <c r="CC10" s="76" t="s">
        <v>384</v>
      </c>
      <c r="CD10" s="76" t="s">
        <v>695</v>
      </c>
      <c r="CE10" s="76" t="s">
        <v>383</v>
      </c>
      <c r="CF10" s="76" t="s">
        <v>383</v>
      </c>
      <c r="CG10" s="120" t="s">
        <v>383</v>
      </c>
      <c r="CH10" s="120" t="s">
        <v>383</v>
      </c>
      <c r="CI10" s="120" t="s">
        <v>383</v>
      </c>
      <c r="CJ10" s="120" t="s">
        <v>383</v>
      </c>
      <c r="CK10" s="120" t="s">
        <v>383</v>
      </c>
      <c r="CL10" s="76" t="s">
        <v>384</v>
      </c>
      <c r="CM10" s="76" t="s">
        <v>692</v>
      </c>
      <c r="CN10" s="120" t="s">
        <v>383</v>
      </c>
      <c r="CO10" s="120" t="s">
        <v>383</v>
      </c>
      <c r="CP10" s="120" t="s">
        <v>383</v>
      </c>
      <c r="CQ10" s="120" t="s">
        <v>384</v>
      </c>
      <c r="CR10" s="76" t="s">
        <v>383</v>
      </c>
      <c r="CS10" s="76" t="s">
        <v>383</v>
      </c>
      <c r="CT10" s="120" t="s">
        <v>383</v>
      </c>
      <c r="CU10" s="120" t="s">
        <v>383</v>
      </c>
      <c r="CV10" s="120" t="s">
        <v>383</v>
      </c>
      <c r="CW10" s="76" t="s">
        <v>383</v>
      </c>
      <c r="CX10" s="76" t="s">
        <v>383</v>
      </c>
      <c r="CY10" s="76" t="s">
        <v>383</v>
      </c>
      <c r="CZ10" s="76" t="s">
        <v>392</v>
      </c>
      <c r="DA10" s="76" t="s">
        <v>383</v>
      </c>
      <c r="DB10" s="76" t="s">
        <v>383</v>
      </c>
      <c r="DC10" s="76" t="s">
        <v>383</v>
      </c>
      <c r="DD10" s="76" t="s">
        <v>384</v>
      </c>
      <c r="DE10" s="76" t="s">
        <v>383</v>
      </c>
      <c r="DF10" s="76" t="s">
        <v>384</v>
      </c>
      <c r="DG10" s="76" t="s">
        <v>383</v>
      </c>
      <c r="DH10" s="76" t="s">
        <v>383</v>
      </c>
      <c r="DI10" s="76" t="s">
        <v>693</v>
      </c>
      <c r="DJ10" s="76" t="s">
        <v>383</v>
      </c>
      <c r="DK10" s="76" t="s">
        <v>383</v>
      </c>
      <c r="DL10" s="76" t="s">
        <v>383</v>
      </c>
      <c r="DM10" s="76" t="s">
        <v>383</v>
      </c>
      <c r="DN10" s="76"/>
      <c r="DO10" s="76" t="s">
        <v>1261</v>
      </c>
      <c r="DP10" s="76" t="s">
        <v>383</v>
      </c>
      <c r="DQ10" s="76" t="s">
        <v>383</v>
      </c>
      <c r="DR10" s="76" t="s">
        <v>383</v>
      </c>
      <c r="DS10" s="76" t="s">
        <v>383</v>
      </c>
      <c r="DT10" s="76" t="s">
        <v>383</v>
      </c>
      <c r="DU10" s="76" t="s">
        <v>383</v>
      </c>
      <c r="DV10" s="76"/>
      <c r="DW10" s="111"/>
      <c r="DX10" s="76"/>
    </row>
    <row r="11" spans="1:128" ht="15" customHeight="1">
      <c r="A11" s="99"/>
      <c r="B11" s="72" t="s">
        <v>322</v>
      </c>
      <c r="C11" s="76" t="s">
        <v>167</v>
      </c>
      <c r="D11" s="76" t="s">
        <v>275</v>
      </c>
      <c r="E11" s="76">
        <v>2023</v>
      </c>
      <c r="F11" s="76" t="s">
        <v>381</v>
      </c>
      <c r="G11" s="76" t="s">
        <v>234</v>
      </c>
      <c r="H11" s="127">
        <v>1.4</v>
      </c>
      <c r="I11" s="76" t="s">
        <v>779</v>
      </c>
      <c r="J11" s="127" t="s">
        <v>522</v>
      </c>
      <c r="K11" s="76">
        <v>1</v>
      </c>
      <c r="L11" s="76" t="s">
        <v>780</v>
      </c>
      <c r="M11" s="92" t="s">
        <v>1262</v>
      </c>
      <c r="N11" s="141" t="s">
        <v>1573</v>
      </c>
      <c r="O11" s="140" t="s">
        <v>384</v>
      </c>
      <c r="P11" s="140" t="s">
        <v>383</v>
      </c>
      <c r="Q11" s="140" t="s">
        <v>383</v>
      </c>
      <c r="R11" s="140" t="s">
        <v>383</v>
      </c>
      <c r="S11" s="140" t="s">
        <v>383</v>
      </c>
      <c r="T11" s="140" t="s">
        <v>383</v>
      </c>
      <c r="U11" s="140" t="s">
        <v>383</v>
      </c>
      <c r="V11" s="76" t="s">
        <v>588</v>
      </c>
      <c r="W11" s="76">
        <v>2010</v>
      </c>
      <c r="X11" s="76">
        <v>2017</v>
      </c>
      <c r="Y11" s="76">
        <f t="shared" si="0"/>
        <v>7</v>
      </c>
      <c r="Z11" s="76">
        <f t="shared" si="1"/>
        <v>6</v>
      </c>
      <c r="AA11" s="76">
        <v>5</v>
      </c>
      <c r="AB11" s="76">
        <v>491</v>
      </c>
      <c r="AC11" s="76"/>
      <c r="AD11" s="76" t="s">
        <v>781</v>
      </c>
      <c r="AE11" s="76" t="s">
        <v>383</v>
      </c>
      <c r="AF11" s="76" t="s">
        <v>383</v>
      </c>
      <c r="AG11" s="76" t="s">
        <v>384</v>
      </c>
      <c r="AH11" s="76" t="s">
        <v>384</v>
      </c>
      <c r="AI11" s="76" t="s">
        <v>832</v>
      </c>
      <c r="AJ11" s="76" t="s">
        <v>383</v>
      </c>
      <c r="AK11" s="76" t="s">
        <v>392</v>
      </c>
      <c r="AL11" s="76" t="s">
        <v>392</v>
      </c>
      <c r="AM11" s="76"/>
      <c r="AN11" s="76" t="s">
        <v>1263</v>
      </c>
      <c r="AO11" s="76" t="s">
        <v>392</v>
      </c>
      <c r="AP11" s="120" t="s">
        <v>383</v>
      </c>
      <c r="AQ11" s="120" t="s">
        <v>383</v>
      </c>
      <c r="AR11" s="120" t="s">
        <v>383</v>
      </c>
      <c r="AS11" s="120" t="s">
        <v>383</v>
      </c>
      <c r="AT11" s="120" t="s">
        <v>383</v>
      </c>
      <c r="AU11" s="120" t="s">
        <v>383</v>
      </c>
      <c r="AV11" s="120" t="s">
        <v>383</v>
      </c>
      <c r="AW11" s="76" t="s">
        <v>782</v>
      </c>
      <c r="AX11" s="120" t="s">
        <v>383</v>
      </c>
      <c r="AY11" s="120" t="s">
        <v>384</v>
      </c>
      <c r="AZ11" s="120" t="s">
        <v>384</v>
      </c>
      <c r="BA11" s="120" t="s">
        <v>383</v>
      </c>
      <c r="BB11" s="120" t="s">
        <v>383</v>
      </c>
      <c r="BC11" s="120" t="s">
        <v>383</v>
      </c>
      <c r="BD11" s="120" t="s">
        <v>383</v>
      </c>
      <c r="BE11" s="76" t="s">
        <v>383</v>
      </c>
      <c r="BF11" s="76" t="s">
        <v>384</v>
      </c>
      <c r="BG11" s="76" t="s">
        <v>478</v>
      </c>
      <c r="BH11" s="78">
        <v>1</v>
      </c>
      <c r="BI11" s="76">
        <v>100</v>
      </c>
      <c r="BJ11" s="76" t="s">
        <v>383</v>
      </c>
      <c r="BK11" s="140"/>
      <c r="BL11" s="76" t="s">
        <v>392</v>
      </c>
      <c r="BM11" s="76" t="s">
        <v>392</v>
      </c>
      <c r="BN11" s="76" t="s">
        <v>383</v>
      </c>
      <c r="BO11" s="76" t="s">
        <v>392</v>
      </c>
      <c r="BP11" s="76" t="s">
        <v>392</v>
      </c>
      <c r="BQ11" s="76" t="s">
        <v>392</v>
      </c>
      <c r="BR11" s="76" t="s">
        <v>392</v>
      </c>
      <c r="BS11" s="76" t="s">
        <v>1264</v>
      </c>
      <c r="BT11" s="76" t="s">
        <v>438</v>
      </c>
      <c r="BU11" s="120" t="s">
        <v>384</v>
      </c>
      <c r="BV11" s="120" t="s">
        <v>383</v>
      </c>
      <c r="BW11" s="120" t="s">
        <v>383</v>
      </c>
      <c r="BX11" s="120" t="s">
        <v>383</v>
      </c>
      <c r="BY11" s="120" t="s">
        <v>383</v>
      </c>
      <c r="BZ11" s="120" t="s">
        <v>383</v>
      </c>
      <c r="CA11" s="120" t="s">
        <v>383</v>
      </c>
      <c r="CB11" s="76" t="s">
        <v>383</v>
      </c>
      <c r="CC11" s="76" t="s">
        <v>384</v>
      </c>
      <c r="CD11" s="76" t="s">
        <v>784</v>
      </c>
      <c r="CE11" s="76" t="s">
        <v>383</v>
      </c>
      <c r="CF11" s="76" t="s">
        <v>383</v>
      </c>
      <c r="CG11" s="120" t="s">
        <v>383</v>
      </c>
      <c r="CH11" s="120" t="s">
        <v>383</v>
      </c>
      <c r="CI11" s="120" t="s">
        <v>383</v>
      </c>
      <c r="CJ11" s="120" t="s">
        <v>383</v>
      </c>
      <c r="CK11" s="120" t="s">
        <v>383</v>
      </c>
      <c r="CL11" s="76" t="s">
        <v>384</v>
      </c>
      <c r="CM11" s="76" t="s">
        <v>783</v>
      </c>
      <c r="CN11" s="120" t="s">
        <v>383</v>
      </c>
      <c r="CO11" s="120" t="s">
        <v>383</v>
      </c>
      <c r="CP11" s="120" t="s">
        <v>383</v>
      </c>
      <c r="CQ11" s="120" t="s">
        <v>384</v>
      </c>
      <c r="CR11" s="76" t="s">
        <v>384</v>
      </c>
      <c r="CS11" s="76" t="s">
        <v>545</v>
      </c>
      <c r="CT11" s="120"/>
      <c r="CU11" s="120" t="s">
        <v>384</v>
      </c>
      <c r="CV11" s="120" t="s">
        <v>383</v>
      </c>
      <c r="CW11" s="76" t="s">
        <v>383</v>
      </c>
      <c r="CX11" s="76" t="s">
        <v>383</v>
      </c>
      <c r="CY11" s="76" t="s">
        <v>383</v>
      </c>
      <c r="CZ11" s="76" t="s">
        <v>833</v>
      </c>
      <c r="DA11" s="76" t="s">
        <v>384</v>
      </c>
      <c r="DB11" s="76" t="s">
        <v>383</v>
      </c>
      <c r="DC11" s="76" t="s">
        <v>383</v>
      </c>
      <c r="DD11" s="76" t="s">
        <v>383</v>
      </c>
      <c r="DE11" s="76" t="s">
        <v>384</v>
      </c>
      <c r="DF11" s="76" t="s">
        <v>383</v>
      </c>
      <c r="DG11" s="76" t="s">
        <v>384</v>
      </c>
      <c r="DH11" s="76" t="s">
        <v>383</v>
      </c>
      <c r="DI11" s="76"/>
      <c r="DJ11" s="76" t="s">
        <v>383</v>
      </c>
      <c r="DK11" s="76" t="s">
        <v>383</v>
      </c>
      <c r="DL11" s="76" t="s">
        <v>383</v>
      </c>
      <c r="DM11" s="76" t="s">
        <v>384</v>
      </c>
      <c r="DN11" s="76" t="s">
        <v>1265</v>
      </c>
      <c r="DO11" s="76" t="s">
        <v>1266</v>
      </c>
      <c r="DP11" s="76" t="s">
        <v>383</v>
      </c>
      <c r="DQ11" s="76" t="s">
        <v>383</v>
      </c>
      <c r="DR11" s="76" t="s">
        <v>383</v>
      </c>
      <c r="DS11" s="76" t="s">
        <v>383</v>
      </c>
      <c r="DT11" s="76" t="s">
        <v>383</v>
      </c>
      <c r="DU11" s="76" t="s">
        <v>383</v>
      </c>
      <c r="DV11" s="76"/>
      <c r="DW11" s="111" t="s">
        <v>841</v>
      </c>
      <c r="DX11" s="76"/>
    </row>
    <row r="12" spans="1:128" ht="15.75" customHeight="1">
      <c r="B12" s="72" t="s">
        <v>334</v>
      </c>
      <c r="C12" s="111" t="s">
        <v>180</v>
      </c>
      <c r="D12" s="111" t="s">
        <v>281</v>
      </c>
      <c r="E12" s="111">
        <v>2017</v>
      </c>
      <c r="F12" s="111" t="s">
        <v>381</v>
      </c>
      <c r="G12" s="111" t="s">
        <v>245</v>
      </c>
      <c r="H12" s="127">
        <v>2.2000000000000002</v>
      </c>
      <c r="I12" s="111" t="s">
        <v>883</v>
      </c>
      <c r="J12" s="128" t="s">
        <v>1230</v>
      </c>
      <c r="K12" s="111">
        <v>49</v>
      </c>
      <c r="L12" s="111" t="s">
        <v>884</v>
      </c>
      <c r="M12" s="92" t="s">
        <v>1636</v>
      </c>
      <c r="N12" s="141" t="s">
        <v>1569</v>
      </c>
      <c r="O12" s="140" t="s">
        <v>383</v>
      </c>
      <c r="P12" s="140" t="s">
        <v>384</v>
      </c>
      <c r="Q12" s="140" t="s">
        <v>383</v>
      </c>
      <c r="R12" s="140" t="s">
        <v>383</v>
      </c>
      <c r="S12" s="140" t="s">
        <v>383</v>
      </c>
      <c r="T12" s="140" t="s">
        <v>383</v>
      </c>
      <c r="U12" s="140" t="s">
        <v>383</v>
      </c>
      <c r="V12" s="111" t="s">
        <v>480</v>
      </c>
      <c r="W12" s="111">
        <v>2008</v>
      </c>
      <c r="X12" s="111">
        <v>2016</v>
      </c>
      <c r="Y12" s="111">
        <f t="shared" si="0"/>
        <v>8</v>
      </c>
      <c r="Z12" s="111">
        <f t="shared" si="1"/>
        <v>1</v>
      </c>
      <c r="AA12" s="111">
        <v>6</v>
      </c>
      <c r="AB12" s="111">
        <v>70</v>
      </c>
      <c r="AC12" s="111">
        <v>2827</v>
      </c>
      <c r="AD12" s="111" t="s">
        <v>1005</v>
      </c>
      <c r="AE12" s="111" t="s">
        <v>383</v>
      </c>
      <c r="AF12" s="111" t="s">
        <v>383</v>
      </c>
      <c r="AG12" s="111" t="s">
        <v>383</v>
      </c>
      <c r="AH12" s="111" t="s">
        <v>384</v>
      </c>
      <c r="AI12" s="111" t="s">
        <v>885</v>
      </c>
      <c r="AJ12" s="111" t="s">
        <v>384</v>
      </c>
      <c r="AK12" s="111" t="s">
        <v>421</v>
      </c>
      <c r="AL12" s="112">
        <v>1</v>
      </c>
      <c r="AM12" s="111">
        <v>100</v>
      </c>
      <c r="AN12" s="111" t="s">
        <v>1267</v>
      </c>
      <c r="AO12" s="111" t="s">
        <v>392</v>
      </c>
      <c r="AP12" s="121" t="s">
        <v>383</v>
      </c>
      <c r="AQ12" s="121" t="s">
        <v>383</v>
      </c>
      <c r="AR12" s="121" t="s">
        <v>383</v>
      </c>
      <c r="AS12" s="121" t="s">
        <v>383</v>
      </c>
      <c r="AT12" s="121" t="s">
        <v>383</v>
      </c>
      <c r="AU12" s="120" t="s">
        <v>383</v>
      </c>
      <c r="AV12" s="121" t="s">
        <v>383</v>
      </c>
      <c r="AW12" s="111" t="s">
        <v>886</v>
      </c>
      <c r="AX12" s="121" t="s">
        <v>383</v>
      </c>
      <c r="AY12" s="121" t="s">
        <v>384</v>
      </c>
      <c r="AZ12" s="121" t="s">
        <v>383</v>
      </c>
      <c r="BA12" s="121" t="s">
        <v>383</v>
      </c>
      <c r="BB12" s="121" t="s">
        <v>383</v>
      </c>
      <c r="BC12" s="121" t="s">
        <v>383</v>
      </c>
      <c r="BD12" s="121" t="s">
        <v>383</v>
      </c>
      <c r="BE12" s="111" t="s">
        <v>383</v>
      </c>
      <c r="BF12" s="111" t="s">
        <v>383</v>
      </c>
      <c r="BG12" s="111" t="s">
        <v>392</v>
      </c>
      <c r="BH12" s="111" t="s">
        <v>392</v>
      </c>
      <c r="BI12" s="111"/>
      <c r="BJ12" s="111" t="s">
        <v>384</v>
      </c>
      <c r="BK12" s="140" t="s">
        <v>1600</v>
      </c>
      <c r="BL12" s="111" t="s">
        <v>663</v>
      </c>
      <c r="BM12" s="111" t="s">
        <v>1267</v>
      </c>
      <c r="BN12" s="111" t="s">
        <v>383</v>
      </c>
      <c r="BO12" s="111" t="s">
        <v>392</v>
      </c>
      <c r="BP12" s="111" t="s">
        <v>392</v>
      </c>
      <c r="BQ12" s="111" t="s">
        <v>392</v>
      </c>
      <c r="BR12" s="111" t="s">
        <v>392</v>
      </c>
      <c r="BS12" s="111" t="s">
        <v>1268</v>
      </c>
      <c r="BT12" s="111" t="s">
        <v>867</v>
      </c>
      <c r="BU12" s="121" t="s">
        <v>384</v>
      </c>
      <c r="BV12" s="121" t="s">
        <v>383</v>
      </c>
      <c r="BW12" s="121" t="s">
        <v>384</v>
      </c>
      <c r="BX12" s="121" t="s">
        <v>383</v>
      </c>
      <c r="BY12" s="121" t="s">
        <v>383</v>
      </c>
      <c r="BZ12" s="121" t="s">
        <v>383</v>
      </c>
      <c r="CA12" s="121" t="s">
        <v>383</v>
      </c>
      <c r="CB12" s="111" t="s">
        <v>383</v>
      </c>
      <c r="CC12" s="111" t="s">
        <v>383</v>
      </c>
      <c r="CD12" s="111" t="s">
        <v>383</v>
      </c>
      <c r="CE12" s="111" t="s">
        <v>383</v>
      </c>
      <c r="CF12" s="111" t="s">
        <v>383</v>
      </c>
      <c r="CG12" s="121" t="s">
        <v>383</v>
      </c>
      <c r="CH12" s="121" t="s">
        <v>383</v>
      </c>
      <c r="CI12" s="121" t="s">
        <v>383</v>
      </c>
      <c r="CJ12" s="121" t="s">
        <v>383</v>
      </c>
      <c r="CK12" s="121" t="s">
        <v>383</v>
      </c>
      <c r="CL12" s="111" t="s">
        <v>384</v>
      </c>
      <c r="CM12" s="111" t="s">
        <v>658</v>
      </c>
      <c r="CN12" s="121" t="s">
        <v>384</v>
      </c>
      <c r="CO12" s="121" t="s">
        <v>383</v>
      </c>
      <c r="CP12" s="121" t="s">
        <v>383</v>
      </c>
      <c r="CQ12" s="121" t="s">
        <v>383</v>
      </c>
      <c r="CR12" s="111" t="s">
        <v>384</v>
      </c>
      <c r="CS12" s="111" t="s">
        <v>887</v>
      </c>
      <c r="CT12" s="121" t="s">
        <v>384</v>
      </c>
      <c r="CU12" s="121" t="s">
        <v>383</v>
      </c>
      <c r="CV12" s="121" t="s">
        <v>383</v>
      </c>
      <c r="CW12" s="111" t="s">
        <v>384</v>
      </c>
      <c r="CX12" s="111" t="s">
        <v>383</v>
      </c>
      <c r="CY12" s="111" t="s">
        <v>383</v>
      </c>
      <c r="CZ12" s="111" t="s">
        <v>888</v>
      </c>
      <c r="DA12" s="111" t="s">
        <v>384</v>
      </c>
      <c r="DB12" s="111" t="s">
        <v>383</v>
      </c>
      <c r="DC12" s="111" t="s">
        <v>384</v>
      </c>
      <c r="DD12" s="111" t="s">
        <v>384</v>
      </c>
      <c r="DE12" s="111" t="s">
        <v>384</v>
      </c>
      <c r="DF12" s="111" t="s">
        <v>383</v>
      </c>
      <c r="DG12" s="111" t="s">
        <v>384</v>
      </c>
      <c r="DH12" s="111" t="s">
        <v>383</v>
      </c>
      <c r="DI12" s="111"/>
      <c r="DJ12" s="111" t="s">
        <v>383</v>
      </c>
      <c r="DK12" s="111" t="s">
        <v>383</v>
      </c>
      <c r="DL12" s="111" t="s">
        <v>383</v>
      </c>
      <c r="DM12" s="111" t="s">
        <v>383</v>
      </c>
      <c r="DN12" s="111"/>
      <c r="DO12" s="111"/>
      <c r="DP12" s="111" t="s">
        <v>383</v>
      </c>
      <c r="DQ12" s="111" t="s">
        <v>383</v>
      </c>
      <c r="DR12" s="111" t="s">
        <v>383</v>
      </c>
      <c r="DS12" s="111" t="s">
        <v>383</v>
      </c>
      <c r="DT12" s="111" t="s">
        <v>383</v>
      </c>
      <c r="DU12" s="111" t="s">
        <v>383</v>
      </c>
      <c r="DV12" s="111"/>
      <c r="DW12" s="111"/>
      <c r="DX12" s="111"/>
    </row>
    <row r="13" spans="1:128" ht="105">
      <c r="A13" s="99"/>
      <c r="B13" s="72" t="s">
        <v>373</v>
      </c>
      <c r="C13" s="76" t="s">
        <v>174</v>
      </c>
      <c r="D13" s="72" t="s">
        <v>301</v>
      </c>
      <c r="E13" s="76">
        <v>2023</v>
      </c>
      <c r="F13" s="76" t="s">
        <v>381</v>
      </c>
      <c r="G13" s="76" t="s">
        <v>227</v>
      </c>
      <c r="H13" s="127">
        <v>7.6</v>
      </c>
      <c r="I13" s="76" t="s">
        <v>656</v>
      </c>
      <c r="J13" s="127" t="s">
        <v>1229</v>
      </c>
      <c r="K13" s="76">
        <v>3</v>
      </c>
      <c r="L13" s="76" t="s">
        <v>785</v>
      </c>
      <c r="M13" s="92" t="s">
        <v>1269</v>
      </c>
      <c r="N13" s="141"/>
      <c r="O13" s="115" t="s">
        <v>384</v>
      </c>
      <c r="P13" s="140" t="s">
        <v>383</v>
      </c>
      <c r="Q13" s="140" t="s">
        <v>383</v>
      </c>
      <c r="R13" s="115" t="s">
        <v>384</v>
      </c>
      <c r="S13" s="140" t="s">
        <v>383</v>
      </c>
      <c r="T13" s="140" t="s">
        <v>383</v>
      </c>
      <c r="U13" s="140" t="s">
        <v>383</v>
      </c>
      <c r="V13" s="76" t="s">
        <v>588</v>
      </c>
      <c r="W13" s="76">
        <v>2006</v>
      </c>
      <c r="X13" s="76">
        <v>2020</v>
      </c>
      <c r="Y13" s="76">
        <f t="shared" si="0"/>
        <v>14</v>
      </c>
      <c r="Z13" s="76">
        <f t="shared" si="1"/>
        <v>3</v>
      </c>
      <c r="AA13" s="76">
        <v>50</v>
      </c>
      <c r="AB13" s="76">
        <v>286</v>
      </c>
      <c r="AC13" s="76"/>
      <c r="AD13" s="76" t="s">
        <v>1270</v>
      </c>
      <c r="AE13" s="76" t="s">
        <v>383</v>
      </c>
      <c r="AF13" s="76" t="s">
        <v>383</v>
      </c>
      <c r="AG13" s="76" t="s">
        <v>383</v>
      </c>
      <c r="AH13" s="76" t="s">
        <v>384</v>
      </c>
      <c r="AI13" s="76" t="s">
        <v>1271</v>
      </c>
      <c r="AJ13" s="76" t="s">
        <v>383</v>
      </c>
      <c r="AK13" s="76" t="s">
        <v>392</v>
      </c>
      <c r="AL13" s="76" t="s">
        <v>392</v>
      </c>
      <c r="AM13" s="76"/>
      <c r="AN13" s="76" t="s">
        <v>1272</v>
      </c>
      <c r="AO13" s="76" t="s">
        <v>392</v>
      </c>
      <c r="AP13" s="120" t="s">
        <v>383</v>
      </c>
      <c r="AQ13" s="120" t="s">
        <v>383</v>
      </c>
      <c r="AR13" s="120" t="s">
        <v>383</v>
      </c>
      <c r="AS13" s="120" t="s">
        <v>383</v>
      </c>
      <c r="AT13" s="120" t="s">
        <v>383</v>
      </c>
      <c r="AU13" s="120" t="s">
        <v>383</v>
      </c>
      <c r="AV13" s="120" t="s">
        <v>383</v>
      </c>
      <c r="AW13" s="76" t="s">
        <v>1121</v>
      </c>
      <c r="AX13" s="121" t="s">
        <v>384</v>
      </c>
      <c r="AY13" s="121" t="s">
        <v>384</v>
      </c>
      <c r="AZ13" s="121" t="s">
        <v>384</v>
      </c>
      <c r="BA13" s="121" t="s">
        <v>383</v>
      </c>
      <c r="BB13" s="121" t="s">
        <v>384</v>
      </c>
      <c r="BC13" s="121" t="s">
        <v>383</v>
      </c>
      <c r="BD13" s="121" t="s">
        <v>383</v>
      </c>
      <c r="BE13" s="76" t="s">
        <v>383</v>
      </c>
      <c r="BF13" s="76" t="s">
        <v>384</v>
      </c>
      <c r="BG13" s="76" t="s">
        <v>478</v>
      </c>
      <c r="BH13" s="98">
        <v>0.97299999999999998</v>
      </c>
      <c r="BI13" s="76">
        <v>13.6</v>
      </c>
      <c r="BJ13" s="76" t="s">
        <v>383</v>
      </c>
      <c r="BK13" s="140"/>
      <c r="BL13" s="76" t="s">
        <v>392</v>
      </c>
      <c r="BM13" s="76" t="s">
        <v>392</v>
      </c>
      <c r="BN13" s="76" t="s">
        <v>383</v>
      </c>
      <c r="BO13" s="76" t="s">
        <v>392</v>
      </c>
      <c r="BP13" s="76" t="s">
        <v>392</v>
      </c>
      <c r="BQ13" s="76" t="s">
        <v>392</v>
      </c>
      <c r="BR13" s="76" t="s">
        <v>392</v>
      </c>
      <c r="BS13" s="75" t="s">
        <v>1031</v>
      </c>
      <c r="BT13" s="111" t="s">
        <v>392</v>
      </c>
      <c r="BU13" s="121" t="s">
        <v>383</v>
      </c>
      <c r="BV13" s="121" t="s">
        <v>383</v>
      </c>
      <c r="BW13" s="121" t="s">
        <v>383</v>
      </c>
      <c r="BX13" s="121" t="s">
        <v>383</v>
      </c>
      <c r="BY13" s="121" t="s">
        <v>383</v>
      </c>
      <c r="BZ13" s="121" t="s">
        <v>383</v>
      </c>
      <c r="CA13" s="121" t="s">
        <v>383</v>
      </c>
      <c r="CB13" s="111" t="s">
        <v>383</v>
      </c>
      <c r="CC13" s="75" t="s">
        <v>384</v>
      </c>
      <c r="CD13" s="76" t="s">
        <v>383</v>
      </c>
      <c r="CE13" s="76" t="s">
        <v>383</v>
      </c>
      <c r="CF13" s="76" t="s">
        <v>383</v>
      </c>
      <c r="CG13" s="120" t="s">
        <v>383</v>
      </c>
      <c r="CH13" s="120" t="s">
        <v>383</v>
      </c>
      <c r="CI13" s="120" t="s">
        <v>383</v>
      </c>
      <c r="CJ13" s="120" t="s">
        <v>383</v>
      </c>
      <c r="CK13" s="120" t="s">
        <v>383</v>
      </c>
      <c r="CL13" s="76" t="s">
        <v>384</v>
      </c>
      <c r="CM13" s="76" t="s">
        <v>786</v>
      </c>
      <c r="CN13" s="120" t="s">
        <v>383</v>
      </c>
      <c r="CO13" s="120" t="s">
        <v>383</v>
      </c>
      <c r="CP13" s="120" t="s">
        <v>383</v>
      </c>
      <c r="CQ13" s="120" t="s">
        <v>384</v>
      </c>
      <c r="CR13" s="76" t="s">
        <v>384</v>
      </c>
      <c r="CS13" s="76" t="s">
        <v>1208</v>
      </c>
      <c r="CT13" s="120" t="s">
        <v>383</v>
      </c>
      <c r="CU13" s="120" t="s">
        <v>383</v>
      </c>
      <c r="CV13" s="120" t="s">
        <v>384</v>
      </c>
      <c r="CW13" s="76" t="s">
        <v>383</v>
      </c>
      <c r="CX13" s="76" t="s">
        <v>383</v>
      </c>
      <c r="CY13" s="76" t="s">
        <v>383</v>
      </c>
      <c r="CZ13" s="76" t="s">
        <v>392</v>
      </c>
      <c r="DA13" s="75" t="s">
        <v>384</v>
      </c>
      <c r="DB13" s="76" t="s">
        <v>383</v>
      </c>
      <c r="DC13" s="76" t="s">
        <v>383</v>
      </c>
      <c r="DD13" s="76" t="s">
        <v>384</v>
      </c>
      <c r="DE13" s="76" t="s">
        <v>384</v>
      </c>
      <c r="DF13" s="76" t="s">
        <v>383</v>
      </c>
      <c r="DG13" s="76" t="s">
        <v>384</v>
      </c>
      <c r="DH13" s="76" t="s">
        <v>383</v>
      </c>
      <c r="DI13" s="76" t="s">
        <v>1060</v>
      </c>
      <c r="DJ13" s="76" t="s">
        <v>383</v>
      </c>
      <c r="DK13" s="76" t="s">
        <v>383</v>
      </c>
      <c r="DL13" s="76" t="s">
        <v>383</v>
      </c>
      <c r="DM13" s="76" t="s">
        <v>384</v>
      </c>
      <c r="DN13" s="76" t="s">
        <v>1536</v>
      </c>
      <c r="DO13" s="76" t="s">
        <v>1273</v>
      </c>
      <c r="DP13" s="76" t="s">
        <v>383</v>
      </c>
      <c r="DQ13" s="76" t="s">
        <v>383</v>
      </c>
      <c r="DR13" s="76" t="s">
        <v>383</v>
      </c>
      <c r="DS13" s="76" t="s">
        <v>383</v>
      </c>
      <c r="DT13" s="76" t="s">
        <v>383</v>
      </c>
      <c r="DU13" s="76" t="s">
        <v>383</v>
      </c>
      <c r="DV13" s="76" t="s">
        <v>834</v>
      </c>
      <c r="DW13" s="111" t="s">
        <v>842</v>
      </c>
      <c r="DX13" s="76"/>
    </row>
    <row r="14" spans="1:128">
      <c r="A14" s="71" t="s">
        <v>844</v>
      </c>
      <c r="B14" s="72" t="s">
        <v>335</v>
      </c>
      <c r="C14" s="76" t="s">
        <v>181</v>
      </c>
      <c r="D14" s="76" t="s">
        <v>314</v>
      </c>
      <c r="E14" s="76">
        <v>2015</v>
      </c>
      <c r="F14" s="76" t="s">
        <v>381</v>
      </c>
      <c r="G14" s="76" t="s">
        <v>246</v>
      </c>
      <c r="H14" s="127">
        <v>2.4</v>
      </c>
      <c r="I14" s="76" t="s">
        <v>485</v>
      </c>
      <c r="J14" s="127" t="s">
        <v>1231</v>
      </c>
      <c r="K14" s="76">
        <v>231</v>
      </c>
      <c r="L14" s="76" t="s">
        <v>476</v>
      </c>
      <c r="M14" s="142" t="s">
        <v>488</v>
      </c>
      <c r="N14" s="141"/>
      <c r="O14" s="140"/>
      <c r="P14" s="140"/>
      <c r="Q14" s="140"/>
      <c r="R14" s="140"/>
      <c r="S14" s="140"/>
      <c r="T14" s="140"/>
      <c r="U14" s="140"/>
      <c r="V14" s="76" t="s">
        <v>425</v>
      </c>
      <c r="W14" s="76">
        <v>1998</v>
      </c>
      <c r="X14" s="76">
        <v>2011</v>
      </c>
      <c r="Y14" s="76">
        <f t="shared" si="0"/>
        <v>13</v>
      </c>
      <c r="Z14" s="76">
        <f t="shared" si="1"/>
        <v>4</v>
      </c>
      <c r="AA14" s="76">
        <v>7</v>
      </c>
      <c r="AB14" s="76">
        <v>574</v>
      </c>
      <c r="AC14" s="86">
        <v>87185</v>
      </c>
      <c r="AD14" s="76" t="s">
        <v>489</v>
      </c>
      <c r="AE14" s="76" t="s">
        <v>383</v>
      </c>
      <c r="AF14" s="76" t="s">
        <v>383</v>
      </c>
      <c r="AG14" s="76" t="s">
        <v>383</v>
      </c>
      <c r="AH14" s="76" t="s">
        <v>384</v>
      </c>
      <c r="AI14" s="75" t="s">
        <v>492</v>
      </c>
      <c r="AJ14" s="76" t="s">
        <v>383</v>
      </c>
      <c r="AK14" s="76" t="s">
        <v>392</v>
      </c>
      <c r="AL14" s="76" t="s">
        <v>392</v>
      </c>
      <c r="AM14" s="76"/>
      <c r="AN14" s="75" t="s">
        <v>477</v>
      </c>
      <c r="AO14" s="76" t="s">
        <v>494</v>
      </c>
      <c r="AP14" s="120" t="s">
        <v>383</v>
      </c>
      <c r="AQ14" s="120" t="s">
        <v>384</v>
      </c>
      <c r="AR14" s="120" t="s">
        <v>383</v>
      </c>
      <c r="AS14" s="120" t="s">
        <v>383</v>
      </c>
      <c r="AT14" s="120" t="s">
        <v>383</v>
      </c>
      <c r="AU14" s="120" t="s">
        <v>384</v>
      </c>
      <c r="AV14" s="120" t="s">
        <v>383</v>
      </c>
      <c r="AW14" s="75" t="s">
        <v>495</v>
      </c>
      <c r="AX14" s="121" t="s">
        <v>384</v>
      </c>
      <c r="AY14" s="121" t="s">
        <v>383</v>
      </c>
      <c r="AZ14" s="121" t="s">
        <v>384</v>
      </c>
      <c r="BA14" s="121" t="s">
        <v>383</v>
      </c>
      <c r="BB14" s="121" t="s">
        <v>383</v>
      </c>
      <c r="BC14" s="121" t="s">
        <v>383</v>
      </c>
      <c r="BD14" s="121" t="s">
        <v>383</v>
      </c>
      <c r="BE14" s="76" t="s">
        <v>383</v>
      </c>
      <c r="BF14" s="76" t="s">
        <v>383</v>
      </c>
      <c r="BG14" s="76" t="s">
        <v>392</v>
      </c>
      <c r="BH14" s="76" t="s">
        <v>392</v>
      </c>
      <c r="BI14" s="76"/>
      <c r="BJ14" s="76" t="s">
        <v>383</v>
      </c>
      <c r="BK14" s="140"/>
      <c r="BL14" s="75" t="s">
        <v>1274</v>
      </c>
      <c r="BM14" s="76" t="s">
        <v>392</v>
      </c>
      <c r="BN14" s="76" t="s">
        <v>383</v>
      </c>
      <c r="BO14" s="76" t="s">
        <v>392</v>
      </c>
      <c r="BP14" s="76" t="s">
        <v>392</v>
      </c>
      <c r="BQ14" s="76" t="s">
        <v>392</v>
      </c>
      <c r="BR14" s="76" t="s">
        <v>392</v>
      </c>
      <c r="BS14" s="76" t="s">
        <v>1275</v>
      </c>
      <c r="BT14" s="76" t="s">
        <v>392</v>
      </c>
      <c r="BU14" s="120" t="s">
        <v>383</v>
      </c>
      <c r="BV14" s="120" t="s">
        <v>383</v>
      </c>
      <c r="BW14" s="120" t="s">
        <v>383</v>
      </c>
      <c r="BX14" s="120" t="s">
        <v>383</v>
      </c>
      <c r="BY14" s="120" t="s">
        <v>383</v>
      </c>
      <c r="BZ14" s="120" t="s">
        <v>383</v>
      </c>
      <c r="CA14" s="120" t="s">
        <v>383</v>
      </c>
      <c r="CB14" s="75" t="s">
        <v>383</v>
      </c>
      <c r="CC14" s="76" t="s">
        <v>383</v>
      </c>
      <c r="CD14" s="76" t="s">
        <v>383</v>
      </c>
      <c r="CE14" s="76" t="s">
        <v>383</v>
      </c>
      <c r="CF14" s="76" t="s">
        <v>383</v>
      </c>
      <c r="CG14" s="120" t="s">
        <v>383</v>
      </c>
      <c r="CH14" s="120" t="s">
        <v>383</v>
      </c>
      <c r="CI14" s="120" t="s">
        <v>383</v>
      </c>
      <c r="CJ14" s="120" t="s">
        <v>383</v>
      </c>
      <c r="CK14" s="120" t="s">
        <v>383</v>
      </c>
      <c r="CL14" s="76" t="s">
        <v>383</v>
      </c>
      <c r="CM14" s="76" t="s">
        <v>383</v>
      </c>
      <c r="CN14" s="120" t="s">
        <v>383</v>
      </c>
      <c r="CO14" s="120" t="s">
        <v>383</v>
      </c>
      <c r="CP14" s="120" t="s">
        <v>383</v>
      </c>
      <c r="CQ14" s="120" t="s">
        <v>383</v>
      </c>
      <c r="CR14" s="76" t="s">
        <v>383</v>
      </c>
      <c r="CS14" s="76" t="s">
        <v>383</v>
      </c>
      <c r="CT14" s="120" t="s">
        <v>383</v>
      </c>
      <c r="CU14" s="120" t="s">
        <v>383</v>
      </c>
      <c r="CV14" s="120" t="s">
        <v>383</v>
      </c>
      <c r="CW14" s="76" t="s">
        <v>383</v>
      </c>
      <c r="CX14" s="76" t="s">
        <v>383</v>
      </c>
      <c r="CY14" s="76" t="s">
        <v>383</v>
      </c>
      <c r="CZ14" s="76" t="s">
        <v>392</v>
      </c>
      <c r="DA14" s="76" t="s">
        <v>383</v>
      </c>
      <c r="DB14" s="76" t="s">
        <v>383</v>
      </c>
      <c r="DC14" s="76" t="s">
        <v>383</v>
      </c>
      <c r="DD14" s="76" t="s">
        <v>383</v>
      </c>
      <c r="DE14" s="76" t="s">
        <v>384</v>
      </c>
      <c r="DF14" s="76" t="s">
        <v>383</v>
      </c>
      <c r="DG14" s="76" t="s">
        <v>383</v>
      </c>
      <c r="DH14" s="76" t="s">
        <v>383</v>
      </c>
      <c r="DI14" s="76"/>
      <c r="DJ14" s="76" t="s">
        <v>383</v>
      </c>
      <c r="DK14" s="76" t="s">
        <v>383</v>
      </c>
      <c r="DL14" s="76" t="s">
        <v>383</v>
      </c>
      <c r="DM14" s="75" t="s">
        <v>384</v>
      </c>
      <c r="DN14" s="76" t="s">
        <v>500</v>
      </c>
      <c r="DO14" s="76" t="s">
        <v>1073</v>
      </c>
      <c r="DP14" s="76" t="s">
        <v>383</v>
      </c>
      <c r="DQ14" s="76" t="s">
        <v>383</v>
      </c>
      <c r="DR14" s="75" t="s">
        <v>384</v>
      </c>
      <c r="DS14" s="76" t="s">
        <v>383</v>
      </c>
      <c r="DT14" s="76" t="s">
        <v>383</v>
      </c>
      <c r="DU14" s="76" t="s">
        <v>383</v>
      </c>
      <c r="DV14" s="76" t="s">
        <v>1276</v>
      </c>
      <c r="DW14" s="111" t="s">
        <v>502</v>
      </c>
      <c r="DX14" s="76" t="s">
        <v>503</v>
      </c>
    </row>
    <row r="15" spans="1:128" ht="105">
      <c r="B15" s="72" t="s">
        <v>369</v>
      </c>
      <c r="C15" s="76" t="s">
        <v>215</v>
      </c>
      <c r="D15" s="76" t="s">
        <v>292</v>
      </c>
      <c r="E15" s="76">
        <v>2022</v>
      </c>
      <c r="F15" s="76" t="s">
        <v>381</v>
      </c>
      <c r="G15" s="76" t="s">
        <v>270</v>
      </c>
      <c r="H15" s="127" t="s">
        <v>1228</v>
      </c>
      <c r="I15" s="76"/>
      <c r="J15" s="127" t="s">
        <v>522</v>
      </c>
      <c r="K15" s="76">
        <v>8</v>
      </c>
      <c r="L15" s="76" t="s">
        <v>555</v>
      </c>
      <c r="M15" s="92" t="s">
        <v>1538</v>
      </c>
      <c r="N15" s="141" t="s">
        <v>1574</v>
      </c>
      <c r="O15" s="140" t="s">
        <v>384</v>
      </c>
      <c r="P15" s="140" t="s">
        <v>384</v>
      </c>
      <c r="Q15" s="140" t="s">
        <v>383</v>
      </c>
      <c r="R15" s="140" t="s">
        <v>383</v>
      </c>
      <c r="S15" s="140" t="s">
        <v>383</v>
      </c>
      <c r="T15" s="140" t="s">
        <v>383</v>
      </c>
      <c r="U15" s="140" t="s">
        <v>383</v>
      </c>
      <c r="V15" s="76" t="s">
        <v>443</v>
      </c>
      <c r="W15" s="76">
        <v>2015</v>
      </c>
      <c r="X15" s="76">
        <v>2021</v>
      </c>
      <c r="Y15" s="76">
        <f t="shared" si="0"/>
        <v>6</v>
      </c>
      <c r="Z15" s="76">
        <f t="shared" si="1"/>
        <v>1</v>
      </c>
      <c r="AA15" s="76">
        <v>19</v>
      </c>
      <c r="AB15" s="76">
        <v>623</v>
      </c>
      <c r="AC15" s="76"/>
      <c r="AD15" s="76" t="s">
        <v>556</v>
      </c>
      <c r="AE15" s="76" t="s">
        <v>384</v>
      </c>
      <c r="AF15" s="76" t="s">
        <v>557</v>
      </c>
      <c r="AG15" s="76" t="s">
        <v>383</v>
      </c>
      <c r="AH15" s="76" t="s">
        <v>384</v>
      </c>
      <c r="AI15" s="76" t="s">
        <v>1277</v>
      </c>
      <c r="AJ15" s="76" t="s">
        <v>383</v>
      </c>
      <c r="AK15" s="76" t="s">
        <v>392</v>
      </c>
      <c r="AL15" s="76" t="s">
        <v>392</v>
      </c>
      <c r="AM15" s="76"/>
      <c r="AN15" s="76" t="s">
        <v>559</v>
      </c>
      <c r="AO15" s="76" t="s">
        <v>1187</v>
      </c>
      <c r="AP15" s="120" t="s">
        <v>383</v>
      </c>
      <c r="AQ15" s="120" t="s">
        <v>384</v>
      </c>
      <c r="AR15" s="120" t="s">
        <v>383</v>
      </c>
      <c r="AS15" s="120" t="s">
        <v>383</v>
      </c>
      <c r="AT15" s="120" t="s">
        <v>383</v>
      </c>
      <c r="AU15" s="120" t="s">
        <v>383</v>
      </c>
      <c r="AV15" s="120" t="s">
        <v>383</v>
      </c>
      <c r="AW15" s="76" t="s">
        <v>558</v>
      </c>
      <c r="AX15" s="121" t="s">
        <v>383</v>
      </c>
      <c r="AY15" s="121" t="s">
        <v>384</v>
      </c>
      <c r="AZ15" s="121" t="s">
        <v>384</v>
      </c>
      <c r="BA15" s="121" t="s">
        <v>383</v>
      </c>
      <c r="BB15" s="121" t="s">
        <v>383</v>
      </c>
      <c r="BC15" s="121" t="s">
        <v>383</v>
      </c>
      <c r="BD15" s="121" t="s">
        <v>383</v>
      </c>
      <c r="BE15" s="76" t="s">
        <v>383</v>
      </c>
      <c r="BF15" s="76" t="s">
        <v>383</v>
      </c>
      <c r="BG15" s="76" t="s">
        <v>392</v>
      </c>
      <c r="BH15" s="76" t="s">
        <v>392</v>
      </c>
      <c r="BI15" s="76"/>
      <c r="BJ15" s="76" t="s">
        <v>384</v>
      </c>
      <c r="BK15" s="140" t="s">
        <v>1595</v>
      </c>
      <c r="BL15" s="76" t="s">
        <v>1105</v>
      </c>
      <c r="BM15" s="76" t="s">
        <v>560</v>
      </c>
      <c r="BN15" s="76" t="s">
        <v>384</v>
      </c>
      <c r="BO15" s="76" t="s">
        <v>479</v>
      </c>
      <c r="BP15" s="76" t="s">
        <v>463</v>
      </c>
      <c r="BQ15" s="76" t="s">
        <v>464</v>
      </c>
      <c r="BR15" s="76" t="s">
        <v>386</v>
      </c>
      <c r="BS15" s="76" t="s">
        <v>1278</v>
      </c>
      <c r="BT15" s="76" t="s">
        <v>438</v>
      </c>
      <c r="BU15" s="120" t="s">
        <v>384</v>
      </c>
      <c r="BV15" s="120" t="s">
        <v>383</v>
      </c>
      <c r="BW15" s="120" t="s">
        <v>383</v>
      </c>
      <c r="BX15" s="120" t="s">
        <v>383</v>
      </c>
      <c r="BY15" s="120" t="s">
        <v>383</v>
      </c>
      <c r="BZ15" s="120" t="s">
        <v>383</v>
      </c>
      <c r="CA15" s="120" t="s">
        <v>383</v>
      </c>
      <c r="CB15" s="76" t="s">
        <v>383</v>
      </c>
      <c r="CC15" s="76" t="s">
        <v>383</v>
      </c>
      <c r="CD15" s="76" t="s">
        <v>383</v>
      </c>
      <c r="CE15" s="76" t="s">
        <v>384</v>
      </c>
      <c r="CF15" s="76" t="s">
        <v>561</v>
      </c>
      <c r="CG15" s="120" t="s">
        <v>383</v>
      </c>
      <c r="CH15" s="120" t="s">
        <v>383</v>
      </c>
      <c r="CI15" s="120" t="s">
        <v>384</v>
      </c>
      <c r="CJ15" s="120" t="s">
        <v>384</v>
      </c>
      <c r="CK15" s="120" t="s">
        <v>383</v>
      </c>
      <c r="CL15" s="76" t="s">
        <v>384</v>
      </c>
      <c r="CM15" s="76" t="s">
        <v>562</v>
      </c>
      <c r="CN15" s="120" t="s">
        <v>384</v>
      </c>
      <c r="CO15" s="120" t="s">
        <v>384</v>
      </c>
      <c r="CP15" s="120" t="s">
        <v>383</v>
      </c>
      <c r="CQ15" s="120" t="s">
        <v>383</v>
      </c>
      <c r="CR15" s="76" t="s">
        <v>384</v>
      </c>
      <c r="CS15" s="76" t="s">
        <v>440</v>
      </c>
      <c r="CT15" s="120" t="s">
        <v>384</v>
      </c>
      <c r="CU15" s="120" t="s">
        <v>383</v>
      </c>
      <c r="CV15" s="120" t="s">
        <v>383</v>
      </c>
      <c r="CW15" s="76" t="s">
        <v>383</v>
      </c>
      <c r="CX15" s="76" t="s">
        <v>383</v>
      </c>
      <c r="CY15" s="76" t="s">
        <v>383</v>
      </c>
      <c r="CZ15" s="76" t="s">
        <v>600</v>
      </c>
      <c r="DA15" s="76" t="s">
        <v>384</v>
      </c>
      <c r="DB15" s="76" t="s">
        <v>384</v>
      </c>
      <c r="DC15" s="76" t="s">
        <v>383</v>
      </c>
      <c r="DD15" s="111" t="s">
        <v>383</v>
      </c>
      <c r="DE15" s="75" t="s">
        <v>383</v>
      </c>
      <c r="DF15" s="75" t="s">
        <v>383</v>
      </c>
      <c r="DG15" s="76" t="s">
        <v>384</v>
      </c>
      <c r="DH15" s="76" t="s">
        <v>383</v>
      </c>
      <c r="DI15" s="76"/>
      <c r="DJ15" s="76" t="s">
        <v>383</v>
      </c>
      <c r="DK15" s="76" t="s">
        <v>383</v>
      </c>
      <c r="DL15" s="76" t="s">
        <v>383</v>
      </c>
      <c r="DM15" s="76" t="s">
        <v>384</v>
      </c>
      <c r="DN15" s="76" t="s">
        <v>1279</v>
      </c>
      <c r="DO15" s="76" t="s">
        <v>563</v>
      </c>
      <c r="DP15" s="76" t="s">
        <v>383</v>
      </c>
      <c r="DQ15" s="76" t="s">
        <v>383</v>
      </c>
      <c r="DR15" s="76" t="s">
        <v>384</v>
      </c>
      <c r="DS15" s="76" t="s">
        <v>383</v>
      </c>
      <c r="DT15" s="76" t="s">
        <v>383</v>
      </c>
      <c r="DU15" s="76" t="s">
        <v>383</v>
      </c>
      <c r="DV15" s="76"/>
      <c r="DW15" s="111"/>
      <c r="DX15" s="76"/>
    </row>
    <row r="16" spans="1:128" ht="120">
      <c r="A16" s="93"/>
      <c r="B16" s="72" t="s">
        <v>346</v>
      </c>
      <c r="C16" s="76" t="s">
        <v>192</v>
      </c>
      <c r="D16" s="76" t="s">
        <v>284</v>
      </c>
      <c r="E16" s="76">
        <v>2022</v>
      </c>
      <c r="F16" s="76" t="s">
        <v>381</v>
      </c>
      <c r="G16" s="76" t="s">
        <v>254</v>
      </c>
      <c r="H16" s="127">
        <v>7.5</v>
      </c>
      <c r="I16" s="76" t="s">
        <v>721</v>
      </c>
      <c r="J16" s="127" t="s">
        <v>1230</v>
      </c>
      <c r="K16" s="76">
        <v>126</v>
      </c>
      <c r="L16" s="76" t="s">
        <v>723</v>
      </c>
      <c r="M16" s="92" t="s">
        <v>1280</v>
      </c>
      <c r="N16" s="141" t="s">
        <v>1581</v>
      </c>
      <c r="O16" s="140" t="s">
        <v>383</v>
      </c>
      <c r="P16" s="140" t="s">
        <v>384</v>
      </c>
      <c r="Q16" s="140" t="s">
        <v>383</v>
      </c>
      <c r="R16" s="115" t="s">
        <v>1638</v>
      </c>
      <c r="S16" s="140" t="s">
        <v>384</v>
      </c>
      <c r="T16" s="140" t="s">
        <v>383</v>
      </c>
      <c r="U16" s="140" t="s">
        <v>383</v>
      </c>
      <c r="V16" s="76" t="s">
        <v>724</v>
      </c>
      <c r="W16" s="76">
        <v>2020</v>
      </c>
      <c r="X16" s="76">
        <v>2021</v>
      </c>
      <c r="Y16" s="76">
        <f t="shared" ref="Y16" si="2" xml:space="preserve"> X16 - W16</f>
        <v>1</v>
      </c>
      <c r="Z16" s="76">
        <f t="shared" ref="Z16" si="3" xml:space="preserve"> E16 - X16</f>
        <v>1</v>
      </c>
      <c r="AA16" s="76">
        <v>44</v>
      </c>
      <c r="AB16" s="76">
        <v>1298</v>
      </c>
      <c r="AC16" s="76">
        <v>1491439</v>
      </c>
      <c r="AD16" s="76" t="s">
        <v>722</v>
      </c>
      <c r="AE16" s="76" t="s">
        <v>384</v>
      </c>
      <c r="AF16" s="76" t="s">
        <v>383</v>
      </c>
      <c r="AG16" s="76" t="s">
        <v>384</v>
      </c>
      <c r="AH16" s="76" t="s">
        <v>384</v>
      </c>
      <c r="AI16" s="76" t="s">
        <v>767</v>
      </c>
      <c r="AJ16" s="76" t="s">
        <v>568</v>
      </c>
      <c r="AK16" s="76" t="s">
        <v>392</v>
      </c>
      <c r="AL16" s="76" t="s">
        <v>392</v>
      </c>
      <c r="AM16" s="76">
        <v>100</v>
      </c>
      <c r="AN16" s="76" t="s">
        <v>1281</v>
      </c>
      <c r="AO16" s="76" t="s">
        <v>1203</v>
      </c>
      <c r="AP16" s="120" t="s">
        <v>383</v>
      </c>
      <c r="AQ16" s="120" t="s">
        <v>383</v>
      </c>
      <c r="AR16" s="120" t="s">
        <v>383</v>
      </c>
      <c r="AS16" s="120" t="s">
        <v>383</v>
      </c>
      <c r="AT16" s="120" t="s">
        <v>384</v>
      </c>
      <c r="AU16" s="120" t="s">
        <v>383</v>
      </c>
      <c r="AV16" s="120" t="s">
        <v>383</v>
      </c>
      <c r="AW16" s="76" t="s">
        <v>725</v>
      </c>
      <c r="AX16" s="121" t="s">
        <v>383</v>
      </c>
      <c r="AY16" s="121" t="s">
        <v>383</v>
      </c>
      <c r="AZ16" s="121" t="s">
        <v>383</v>
      </c>
      <c r="BA16" s="121" t="s">
        <v>383</v>
      </c>
      <c r="BB16" s="121" t="s">
        <v>383</v>
      </c>
      <c r="BC16" s="121" t="s">
        <v>383</v>
      </c>
      <c r="BD16" s="121" t="s">
        <v>384</v>
      </c>
      <c r="BE16" s="76" t="s">
        <v>383</v>
      </c>
      <c r="BF16" s="76" t="s">
        <v>384</v>
      </c>
      <c r="BG16" s="76" t="s">
        <v>392</v>
      </c>
      <c r="BH16" s="76" t="s">
        <v>392</v>
      </c>
      <c r="BI16" s="76">
        <v>100</v>
      </c>
      <c r="BJ16" s="76" t="s">
        <v>383</v>
      </c>
      <c r="BK16" s="140"/>
      <c r="BL16" s="76" t="s">
        <v>392</v>
      </c>
      <c r="BM16" s="76" t="s">
        <v>392</v>
      </c>
      <c r="BN16" s="76" t="s">
        <v>384</v>
      </c>
      <c r="BO16" s="76" t="s">
        <v>479</v>
      </c>
      <c r="BP16" s="76" t="s">
        <v>1025</v>
      </c>
      <c r="BQ16" s="76" t="s">
        <v>432</v>
      </c>
      <c r="BR16" s="76" t="s">
        <v>1027</v>
      </c>
      <c r="BS16" s="76" t="s">
        <v>1282</v>
      </c>
      <c r="BT16" s="76" t="s">
        <v>726</v>
      </c>
      <c r="BU16" s="120" t="s">
        <v>384</v>
      </c>
      <c r="BV16" s="120" t="s">
        <v>383</v>
      </c>
      <c r="BW16" s="120" t="s">
        <v>383</v>
      </c>
      <c r="BX16" s="120" t="s">
        <v>383</v>
      </c>
      <c r="BY16" s="120" t="s">
        <v>383</v>
      </c>
      <c r="BZ16" s="120" t="s">
        <v>383</v>
      </c>
      <c r="CA16" s="120" t="s">
        <v>383</v>
      </c>
      <c r="CB16" s="76" t="s">
        <v>383</v>
      </c>
      <c r="CC16" s="76" t="s">
        <v>383</v>
      </c>
      <c r="CD16" s="76" t="s">
        <v>383</v>
      </c>
      <c r="CE16" s="76" t="s">
        <v>384</v>
      </c>
      <c r="CF16" s="76" t="s">
        <v>727</v>
      </c>
      <c r="CG16" s="120" t="s">
        <v>383</v>
      </c>
      <c r="CH16" s="120" t="s">
        <v>383</v>
      </c>
      <c r="CI16" s="120" t="s">
        <v>383</v>
      </c>
      <c r="CJ16" s="120" t="s">
        <v>384</v>
      </c>
      <c r="CK16" s="120" t="s">
        <v>384</v>
      </c>
      <c r="CL16" s="76" t="s">
        <v>384</v>
      </c>
      <c r="CM16" s="76" t="s">
        <v>702</v>
      </c>
      <c r="CN16" s="120" t="s">
        <v>384</v>
      </c>
      <c r="CO16" s="120" t="s">
        <v>383</v>
      </c>
      <c r="CP16" s="120" t="s">
        <v>383</v>
      </c>
      <c r="CQ16" s="120" t="s">
        <v>383</v>
      </c>
      <c r="CR16" s="76" t="s">
        <v>384</v>
      </c>
      <c r="CS16" s="76" t="s">
        <v>440</v>
      </c>
      <c r="CT16" s="120" t="s">
        <v>384</v>
      </c>
      <c r="CU16" s="120" t="s">
        <v>383</v>
      </c>
      <c r="CV16" s="120" t="s">
        <v>383</v>
      </c>
      <c r="CW16" s="76" t="s">
        <v>384</v>
      </c>
      <c r="CX16" s="76" t="s">
        <v>383</v>
      </c>
      <c r="CY16" s="76" t="s">
        <v>383</v>
      </c>
      <c r="CZ16" s="76" t="s">
        <v>728</v>
      </c>
      <c r="DA16" s="76" t="s">
        <v>384</v>
      </c>
      <c r="DB16" s="76" t="s">
        <v>383</v>
      </c>
      <c r="DC16" s="76" t="s">
        <v>384</v>
      </c>
      <c r="DD16" s="111" t="s">
        <v>384</v>
      </c>
      <c r="DE16" s="76" t="s">
        <v>383</v>
      </c>
      <c r="DF16" s="76" t="s">
        <v>384</v>
      </c>
      <c r="DG16" s="76" t="s">
        <v>384</v>
      </c>
      <c r="DH16" s="76" t="s">
        <v>384</v>
      </c>
      <c r="DI16" s="76" t="s">
        <v>768</v>
      </c>
      <c r="DJ16" s="76" t="s">
        <v>384</v>
      </c>
      <c r="DK16" s="76" t="s">
        <v>383</v>
      </c>
      <c r="DL16" s="76" t="s">
        <v>383</v>
      </c>
      <c r="DM16" s="76" t="s">
        <v>384</v>
      </c>
      <c r="DN16" s="76" t="s">
        <v>1283</v>
      </c>
      <c r="DO16" s="76" t="s">
        <v>1284</v>
      </c>
      <c r="DP16" s="75" t="s">
        <v>383</v>
      </c>
      <c r="DQ16" s="76" t="s">
        <v>383</v>
      </c>
      <c r="DR16" s="76" t="s">
        <v>384</v>
      </c>
      <c r="DS16" s="76" t="s">
        <v>384</v>
      </c>
      <c r="DT16" s="76" t="s">
        <v>383</v>
      </c>
      <c r="DU16" s="76" t="s">
        <v>383</v>
      </c>
      <c r="DV16" s="76"/>
      <c r="DW16" s="111" t="s">
        <v>1285</v>
      </c>
      <c r="DX16" s="76"/>
    </row>
    <row r="17" spans="2:128" ht="150">
      <c r="B17" s="72" t="s">
        <v>370</v>
      </c>
      <c r="C17" s="76" t="s">
        <v>216</v>
      </c>
      <c r="D17" s="76" t="s">
        <v>304</v>
      </c>
      <c r="E17" s="76">
        <v>2018</v>
      </c>
      <c r="F17" s="76" t="s">
        <v>381</v>
      </c>
      <c r="G17" s="76" t="s">
        <v>271</v>
      </c>
      <c r="H17" s="127">
        <v>2.4</v>
      </c>
      <c r="I17" s="76" t="s">
        <v>849</v>
      </c>
      <c r="J17" s="127" t="s">
        <v>1230</v>
      </c>
      <c r="K17" s="76">
        <v>198</v>
      </c>
      <c r="L17" s="76" t="s">
        <v>875</v>
      </c>
      <c r="M17" s="92" t="s">
        <v>1286</v>
      </c>
      <c r="N17" s="141" t="s">
        <v>1575</v>
      </c>
      <c r="O17" s="140" t="s">
        <v>383</v>
      </c>
      <c r="P17" s="140" t="s">
        <v>384</v>
      </c>
      <c r="Q17" s="140" t="s">
        <v>384</v>
      </c>
      <c r="R17" s="140" t="s">
        <v>383</v>
      </c>
      <c r="S17" s="140" t="s">
        <v>383</v>
      </c>
      <c r="T17" s="140" t="s">
        <v>383</v>
      </c>
      <c r="U17" s="140" t="s">
        <v>383</v>
      </c>
      <c r="V17" s="76" t="s">
        <v>588</v>
      </c>
      <c r="W17" s="76">
        <v>1985</v>
      </c>
      <c r="X17" s="76">
        <v>2014</v>
      </c>
      <c r="Y17" s="76">
        <f t="shared" si="0"/>
        <v>29</v>
      </c>
      <c r="Z17" s="76">
        <f t="shared" si="1"/>
        <v>4</v>
      </c>
      <c r="AA17" s="76">
        <v>32</v>
      </c>
      <c r="AB17" s="76"/>
      <c r="AC17" s="76"/>
      <c r="AD17" s="76" t="s">
        <v>864</v>
      </c>
      <c r="AE17" s="75" t="s">
        <v>383</v>
      </c>
      <c r="AF17" s="76" t="s">
        <v>383</v>
      </c>
      <c r="AG17" s="76" t="s">
        <v>384</v>
      </c>
      <c r="AH17" s="76" t="s">
        <v>384</v>
      </c>
      <c r="AI17" s="76" t="s">
        <v>863</v>
      </c>
      <c r="AJ17" s="76" t="s">
        <v>383</v>
      </c>
      <c r="AK17" s="76" t="s">
        <v>392</v>
      </c>
      <c r="AL17" s="76" t="s">
        <v>392</v>
      </c>
      <c r="AM17" s="76"/>
      <c r="AN17" s="76" t="s">
        <v>1287</v>
      </c>
      <c r="AO17" s="76" t="s">
        <v>1202</v>
      </c>
      <c r="AP17" s="120" t="s">
        <v>383</v>
      </c>
      <c r="AQ17" s="120" t="s">
        <v>384</v>
      </c>
      <c r="AR17" s="120" t="s">
        <v>383</v>
      </c>
      <c r="AS17" s="120" t="s">
        <v>383</v>
      </c>
      <c r="AT17" s="120" t="s">
        <v>384</v>
      </c>
      <c r="AU17" s="120" t="s">
        <v>383</v>
      </c>
      <c r="AV17" s="120" t="s">
        <v>383</v>
      </c>
      <c r="AW17" s="76" t="s">
        <v>1112</v>
      </c>
      <c r="AX17" s="121" t="s">
        <v>383</v>
      </c>
      <c r="AY17" s="121" t="s">
        <v>384</v>
      </c>
      <c r="AZ17" s="121" t="s">
        <v>383</v>
      </c>
      <c r="BA17" s="121" t="s">
        <v>384</v>
      </c>
      <c r="BB17" s="121" t="s">
        <v>383</v>
      </c>
      <c r="BC17" s="121" t="s">
        <v>383</v>
      </c>
      <c r="BD17" s="121" t="s">
        <v>383</v>
      </c>
      <c r="BE17" s="76" t="s">
        <v>383</v>
      </c>
      <c r="BF17" s="76" t="s">
        <v>384</v>
      </c>
      <c r="BG17" s="76" t="s">
        <v>866</v>
      </c>
      <c r="BH17" s="76" t="s">
        <v>865</v>
      </c>
      <c r="BI17" s="76">
        <v>100</v>
      </c>
      <c r="BJ17" s="76" t="s">
        <v>383</v>
      </c>
      <c r="BK17" s="140"/>
      <c r="BL17" s="76" t="s">
        <v>392</v>
      </c>
      <c r="BM17" s="76" t="s">
        <v>392</v>
      </c>
      <c r="BN17" s="76" t="s">
        <v>383</v>
      </c>
      <c r="BO17" s="76" t="s">
        <v>392</v>
      </c>
      <c r="BP17" s="76" t="s">
        <v>392</v>
      </c>
      <c r="BQ17" s="76" t="s">
        <v>392</v>
      </c>
      <c r="BR17" s="76" t="s">
        <v>392</v>
      </c>
      <c r="BS17" s="76" t="s">
        <v>1288</v>
      </c>
      <c r="BT17" s="76" t="s">
        <v>867</v>
      </c>
      <c r="BU17" s="120" t="s">
        <v>384</v>
      </c>
      <c r="BV17" s="120" t="s">
        <v>383</v>
      </c>
      <c r="BW17" s="120" t="s">
        <v>384</v>
      </c>
      <c r="BX17" s="120" t="s">
        <v>383</v>
      </c>
      <c r="BY17" s="120" t="s">
        <v>383</v>
      </c>
      <c r="BZ17" s="120" t="s">
        <v>383</v>
      </c>
      <c r="CA17" s="120" t="s">
        <v>383</v>
      </c>
      <c r="CB17" s="76" t="s">
        <v>383</v>
      </c>
      <c r="CC17" s="76" t="s">
        <v>384</v>
      </c>
      <c r="CD17" s="76" t="s">
        <v>870</v>
      </c>
      <c r="CE17" s="75" t="s">
        <v>383</v>
      </c>
      <c r="CF17" s="75" t="s">
        <v>383</v>
      </c>
      <c r="CG17" s="121" t="s">
        <v>383</v>
      </c>
      <c r="CH17" s="121" t="s">
        <v>383</v>
      </c>
      <c r="CI17" s="121" t="s">
        <v>383</v>
      </c>
      <c r="CJ17" s="121" t="s">
        <v>383</v>
      </c>
      <c r="CK17" s="121" t="s">
        <v>383</v>
      </c>
      <c r="CL17" s="76" t="s">
        <v>384</v>
      </c>
      <c r="CM17" s="76" t="s">
        <v>869</v>
      </c>
      <c r="CN17" s="120" t="s">
        <v>384</v>
      </c>
      <c r="CO17" s="120" t="s">
        <v>384</v>
      </c>
      <c r="CP17" s="120" t="s">
        <v>383</v>
      </c>
      <c r="CQ17" s="120" t="s">
        <v>383</v>
      </c>
      <c r="CR17" s="76" t="s">
        <v>384</v>
      </c>
      <c r="CS17" s="76" t="s">
        <v>870</v>
      </c>
      <c r="CT17" s="120" t="s">
        <v>383</v>
      </c>
      <c r="CU17" s="120" t="s">
        <v>384</v>
      </c>
      <c r="CV17" s="120" t="s">
        <v>383</v>
      </c>
      <c r="CW17" s="111" t="s">
        <v>384</v>
      </c>
      <c r="CX17" s="76" t="s">
        <v>383</v>
      </c>
      <c r="CY17" s="76" t="s">
        <v>383</v>
      </c>
      <c r="CZ17" s="76" t="s">
        <v>868</v>
      </c>
      <c r="DA17" s="76" t="s">
        <v>384</v>
      </c>
      <c r="DB17" s="76" t="s">
        <v>383</v>
      </c>
      <c r="DC17" s="76" t="s">
        <v>384</v>
      </c>
      <c r="DD17" s="111" t="s">
        <v>384</v>
      </c>
      <c r="DE17" s="76" t="s">
        <v>384</v>
      </c>
      <c r="DF17" s="76" t="s">
        <v>384</v>
      </c>
      <c r="DG17" s="76" t="s">
        <v>384</v>
      </c>
      <c r="DH17" s="76" t="s">
        <v>383</v>
      </c>
      <c r="DI17" s="76"/>
      <c r="DJ17" s="76" t="s">
        <v>384</v>
      </c>
      <c r="DK17" s="76" t="s">
        <v>383</v>
      </c>
      <c r="DL17" s="76" t="s">
        <v>384</v>
      </c>
      <c r="DM17" s="76" t="s">
        <v>383</v>
      </c>
      <c r="DN17" s="76" t="s">
        <v>1289</v>
      </c>
      <c r="DO17" s="76" t="s">
        <v>1290</v>
      </c>
      <c r="DP17" s="76" t="s">
        <v>383</v>
      </c>
      <c r="DQ17" s="76" t="s">
        <v>383</v>
      </c>
      <c r="DR17" s="76" t="s">
        <v>383</v>
      </c>
      <c r="DS17" s="76" t="s">
        <v>383</v>
      </c>
      <c r="DT17" s="76" t="s">
        <v>383</v>
      </c>
      <c r="DU17" s="76" t="s">
        <v>383</v>
      </c>
      <c r="DV17" s="76"/>
      <c r="DW17" s="111" t="s">
        <v>877</v>
      </c>
      <c r="DX17" s="76"/>
    </row>
    <row r="18" spans="2:128" ht="225">
      <c r="B18" s="72" t="s">
        <v>348</v>
      </c>
      <c r="C18" s="76" t="s">
        <v>194</v>
      </c>
      <c r="D18" s="76" t="s">
        <v>318</v>
      </c>
      <c r="E18" s="76">
        <v>2015</v>
      </c>
      <c r="F18" s="76" t="s">
        <v>381</v>
      </c>
      <c r="G18" s="115" t="s">
        <v>256</v>
      </c>
      <c r="H18" s="127">
        <v>11.5</v>
      </c>
      <c r="I18" s="75" t="s">
        <v>505</v>
      </c>
      <c r="J18" s="127" t="s">
        <v>1231</v>
      </c>
      <c r="K18" s="76">
        <v>160</v>
      </c>
      <c r="L18" s="76" t="s">
        <v>507</v>
      </c>
      <c r="M18" s="92" t="s">
        <v>1291</v>
      </c>
      <c r="N18" s="141" t="s">
        <v>1576</v>
      </c>
      <c r="O18" s="140" t="s">
        <v>383</v>
      </c>
      <c r="P18" s="140" t="s">
        <v>384</v>
      </c>
      <c r="Q18" s="140" t="s">
        <v>383</v>
      </c>
      <c r="R18" s="140" t="s">
        <v>383</v>
      </c>
      <c r="S18" s="140" t="s">
        <v>383</v>
      </c>
      <c r="T18" s="140" t="s">
        <v>384</v>
      </c>
      <c r="U18" s="140" t="s">
        <v>383</v>
      </c>
      <c r="V18" s="76" t="s">
        <v>482</v>
      </c>
      <c r="W18" s="76">
        <v>1976</v>
      </c>
      <c r="X18" s="76">
        <v>2012</v>
      </c>
      <c r="Y18" s="76">
        <f t="shared" si="0"/>
        <v>36</v>
      </c>
      <c r="Z18" s="76">
        <f t="shared" si="1"/>
        <v>3</v>
      </c>
      <c r="AA18" s="76">
        <v>176</v>
      </c>
      <c r="AB18" s="76">
        <v>7500</v>
      </c>
      <c r="AC18" s="76">
        <v>11000000</v>
      </c>
      <c r="AD18" s="76" t="s">
        <v>509</v>
      </c>
      <c r="AE18" s="76" t="s">
        <v>383</v>
      </c>
      <c r="AF18" s="76" t="s">
        <v>383</v>
      </c>
      <c r="AG18" s="76" t="s">
        <v>383</v>
      </c>
      <c r="AH18" s="76" t="s">
        <v>384</v>
      </c>
      <c r="AI18" s="76" t="s">
        <v>511</v>
      </c>
      <c r="AJ18" s="76" t="s">
        <v>383</v>
      </c>
      <c r="AK18" s="76" t="s">
        <v>392</v>
      </c>
      <c r="AL18" s="76" t="s">
        <v>392</v>
      </c>
      <c r="AM18" s="76"/>
      <c r="AN18" s="76" t="s">
        <v>1292</v>
      </c>
      <c r="AO18" s="76" t="s">
        <v>455</v>
      </c>
      <c r="AP18" s="120" t="s">
        <v>383</v>
      </c>
      <c r="AQ18" s="120" t="s">
        <v>383</v>
      </c>
      <c r="AR18" s="120" t="s">
        <v>383</v>
      </c>
      <c r="AS18" s="120" t="s">
        <v>384</v>
      </c>
      <c r="AT18" s="120" t="s">
        <v>383</v>
      </c>
      <c r="AU18" s="120" t="s">
        <v>383</v>
      </c>
      <c r="AV18" s="120" t="s">
        <v>383</v>
      </c>
      <c r="AW18" s="76" t="s">
        <v>989</v>
      </c>
      <c r="AX18" s="121" t="s">
        <v>384</v>
      </c>
      <c r="AY18" s="121" t="s">
        <v>383</v>
      </c>
      <c r="AZ18" s="121" t="s">
        <v>383</v>
      </c>
      <c r="BA18" s="121" t="s">
        <v>383</v>
      </c>
      <c r="BB18" s="121" t="s">
        <v>383</v>
      </c>
      <c r="BC18" s="121" t="s">
        <v>383</v>
      </c>
      <c r="BD18" s="121" t="s">
        <v>383</v>
      </c>
      <c r="BE18" s="76" t="s">
        <v>383</v>
      </c>
      <c r="BF18" s="76" t="s">
        <v>384</v>
      </c>
      <c r="BG18" s="76" t="s">
        <v>478</v>
      </c>
      <c r="BH18" s="78" t="s">
        <v>516</v>
      </c>
      <c r="BI18" s="111">
        <v>62.5</v>
      </c>
      <c r="BJ18" s="76" t="s">
        <v>383</v>
      </c>
      <c r="BK18" s="140"/>
      <c r="BL18" s="76" t="s">
        <v>392</v>
      </c>
      <c r="BM18" s="76" t="s">
        <v>392</v>
      </c>
      <c r="BN18" s="76" t="s">
        <v>383</v>
      </c>
      <c r="BO18" s="76" t="s">
        <v>392</v>
      </c>
      <c r="BP18" s="76" t="s">
        <v>392</v>
      </c>
      <c r="BQ18" s="76" t="s">
        <v>392</v>
      </c>
      <c r="BR18" s="76" t="s">
        <v>392</v>
      </c>
      <c r="BS18" s="76" t="s">
        <v>1032</v>
      </c>
      <c r="BT18" s="76" t="s">
        <v>392</v>
      </c>
      <c r="BU18" s="120" t="s">
        <v>383</v>
      </c>
      <c r="BV18" s="120" t="s">
        <v>383</v>
      </c>
      <c r="BW18" s="120" t="s">
        <v>383</v>
      </c>
      <c r="BX18" s="120" t="s">
        <v>383</v>
      </c>
      <c r="BY18" s="120" t="s">
        <v>383</v>
      </c>
      <c r="BZ18" s="120" t="s">
        <v>383</v>
      </c>
      <c r="CA18" s="120" t="s">
        <v>383</v>
      </c>
      <c r="CB18" s="75" t="s">
        <v>383</v>
      </c>
      <c r="CC18" s="76" t="s">
        <v>383</v>
      </c>
      <c r="CD18" s="75" t="s">
        <v>383</v>
      </c>
      <c r="CE18" s="76" t="s">
        <v>383</v>
      </c>
      <c r="CF18" s="76" t="s">
        <v>383</v>
      </c>
      <c r="CG18" s="121" t="s">
        <v>383</v>
      </c>
      <c r="CH18" s="121" t="s">
        <v>383</v>
      </c>
      <c r="CI18" s="121" t="s">
        <v>383</v>
      </c>
      <c r="CJ18" s="121" t="s">
        <v>383</v>
      </c>
      <c r="CK18" s="121" t="s">
        <v>383</v>
      </c>
      <c r="CL18" s="76" t="s">
        <v>384</v>
      </c>
      <c r="CM18" s="76" t="s">
        <v>1053</v>
      </c>
      <c r="CN18" s="120" t="s">
        <v>383</v>
      </c>
      <c r="CO18" s="120" t="s">
        <v>383</v>
      </c>
      <c r="CP18" s="120" t="s">
        <v>383</v>
      </c>
      <c r="CQ18" s="120" t="s">
        <v>384</v>
      </c>
      <c r="CR18" s="76" t="s">
        <v>384</v>
      </c>
      <c r="CS18" s="76" t="s">
        <v>519</v>
      </c>
      <c r="CT18" s="120" t="s">
        <v>383</v>
      </c>
      <c r="CU18" s="120" t="s">
        <v>384</v>
      </c>
      <c r="CV18" s="120" t="s">
        <v>383</v>
      </c>
      <c r="CW18" s="75" t="s">
        <v>384</v>
      </c>
      <c r="CX18" s="76" t="s">
        <v>383</v>
      </c>
      <c r="CY18" s="76" t="s">
        <v>383</v>
      </c>
      <c r="CZ18" s="76" t="s">
        <v>392</v>
      </c>
      <c r="DA18" s="76" t="s">
        <v>383</v>
      </c>
      <c r="DB18" s="76" t="s">
        <v>383</v>
      </c>
      <c r="DC18" s="76" t="s">
        <v>383</v>
      </c>
      <c r="DD18" s="111" t="s">
        <v>384</v>
      </c>
      <c r="DE18" s="75" t="s">
        <v>383</v>
      </c>
      <c r="DF18" s="76" t="s">
        <v>384</v>
      </c>
      <c r="DG18" s="75" t="s">
        <v>384</v>
      </c>
      <c r="DH18" s="76" t="s">
        <v>383</v>
      </c>
      <c r="DI18" s="76" t="s">
        <v>1061</v>
      </c>
      <c r="DJ18" s="76" t="s">
        <v>383</v>
      </c>
      <c r="DK18" s="76" t="s">
        <v>383</v>
      </c>
      <c r="DL18" s="76" t="s">
        <v>384</v>
      </c>
      <c r="DM18" s="76" t="s">
        <v>383</v>
      </c>
      <c r="DN18" s="76"/>
      <c r="DO18" s="76" t="s">
        <v>1293</v>
      </c>
      <c r="DP18" s="76" t="s">
        <v>383</v>
      </c>
      <c r="DQ18" s="76" t="s">
        <v>383</v>
      </c>
      <c r="DR18" s="76" t="s">
        <v>383</v>
      </c>
      <c r="DS18" s="76" t="s">
        <v>383</v>
      </c>
      <c r="DT18" s="76" t="s">
        <v>383</v>
      </c>
      <c r="DU18" s="76" t="s">
        <v>383</v>
      </c>
      <c r="DV18" s="76"/>
      <c r="DW18" s="111" t="s">
        <v>1106</v>
      </c>
      <c r="DX18" s="76"/>
    </row>
    <row r="19" spans="2:128" ht="28.5" customHeight="1">
      <c r="B19" s="72" t="s">
        <v>357</v>
      </c>
      <c r="C19" s="76" t="s">
        <v>203</v>
      </c>
      <c r="D19" s="76" t="s">
        <v>321</v>
      </c>
      <c r="E19" s="76">
        <v>2016</v>
      </c>
      <c r="F19" s="76" t="s">
        <v>381</v>
      </c>
      <c r="G19" s="115" t="s">
        <v>262</v>
      </c>
      <c r="H19" s="127">
        <v>5.4</v>
      </c>
      <c r="I19" s="76" t="s">
        <v>609</v>
      </c>
      <c r="J19" s="127" t="s">
        <v>1231</v>
      </c>
      <c r="K19" s="76">
        <v>144</v>
      </c>
      <c r="L19" s="76" t="s">
        <v>605</v>
      </c>
      <c r="M19" s="92" t="s">
        <v>1294</v>
      </c>
      <c r="N19" s="141" t="s">
        <v>1569</v>
      </c>
      <c r="O19" s="140" t="s">
        <v>383</v>
      </c>
      <c r="P19" s="140" t="s">
        <v>384</v>
      </c>
      <c r="Q19" s="140" t="s">
        <v>383</v>
      </c>
      <c r="R19" s="140" t="s">
        <v>383</v>
      </c>
      <c r="S19" s="140" t="s">
        <v>383</v>
      </c>
      <c r="T19" s="140" t="s">
        <v>383</v>
      </c>
      <c r="U19" s="140" t="s">
        <v>383</v>
      </c>
      <c r="V19" s="76" t="s">
        <v>482</v>
      </c>
      <c r="W19" s="76">
        <v>1987</v>
      </c>
      <c r="X19" s="76">
        <v>2015</v>
      </c>
      <c r="Y19" s="76">
        <f t="shared" si="0"/>
        <v>28</v>
      </c>
      <c r="Z19" s="76">
        <f t="shared" si="1"/>
        <v>1</v>
      </c>
      <c r="AA19" s="76">
        <v>44</v>
      </c>
      <c r="AB19" s="76">
        <v>1700</v>
      </c>
      <c r="AC19" s="76">
        <v>2400000</v>
      </c>
      <c r="AD19" s="76" t="s">
        <v>509</v>
      </c>
      <c r="AE19" s="76" t="s">
        <v>383</v>
      </c>
      <c r="AF19" s="76" t="s">
        <v>383</v>
      </c>
      <c r="AG19" s="76" t="s">
        <v>384</v>
      </c>
      <c r="AH19" s="75" t="s">
        <v>383</v>
      </c>
      <c r="AI19" s="75" t="s">
        <v>392</v>
      </c>
      <c r="AJ19" s="75" t="s">
        <v>383</v>
      </c>
      <c r="AK19" s="76" t="s">
        <v>392</v>
      </c>
      <c r="AL19" s="76" t="s">
        <v>392</v>
      </c>
      <c r="AM19" s="76"/>
      <c r="AN19" s="92" t="s">
        <v>1295</v>
      </c>
      <c r="AO19" s="76" t="s">
        <v>1201</v>
      </c>
      <c r="AP19" s="120" t="s">
        <v>384</v>
      </c>
      <c r="AQ19" s="120" t="s">
        <v>384</v>
      </c>
      <c r="AR19" s="120" t="s">
        <v>383</v>
      </c>
      <c r="AS19" s="120" t="s">
        <v>383</v>
      </c>
      <c r="AT19" s="120" t="s">
        <v>384</v>
      </c>
      <c r="AU19" s="120" t="s">
        <v>383</v>
      </c>
      <c r="AV19" s="120" t="s">
        <v>383</v>
      </c>
      <c r="AW19" s="76" t="s">
        <v>1113</v>
      </c>
      <c r="AX19" s="121" t="s">
        <v>384</v>
      </c>
      <c r="AY19" s="121" t="s">
        <v>383</v>
      </c>
      <c r="AZ19" s="121" t="s">
        <v>383</v>
      </c>
      <c r="BA19" s="121" t="s">
        <v>384</v>
      </c>
      <c r="BB19" s="121" t="s">
        <v>383</v>
      </c>
      <c r="BC19" s="121" t="s">
        <v>383</v>
      </c>
      <c r="BD19" s="121" t="s">
        <v>383</v>
      </c>
      <c r="BE19" s="76" t="s">
        <v>383</v>
      </c>
      <c r="BF19" s="76" t="s">
        <v>384</v>
      </c>
      <c r="BG19" s="76" t="s">
        <v>478</v>
      </c>
      <c r="BH19" s="78">
        <v>0.96</v>
      </c>
      <c r="BI19" s="76">
        <v>100</v>
      </c>
      <c r="BJ19" s="76" t="s">
        <v>383</v>
      </c>
      <c r="BK19" s="140"/>
      <c r="BL19" s="76" t="s">
        <v>392</v>
      </c>
      <c r="BM19" s="76" t="s">
        <v>392</v>
      </c>
      <c r="BN19" s="76" t="s">
        <v>383</v>
      </c>
      <c r="BO19" s="76" t="s">
        <v>392</v>
      </c>
      <c r="BP19" s="76" t="s">
        <v>392</v>
      </c>
      <c r="BQ19" s="76" t="s">
        <v>392</v>
      </c>
      <c r="BR19" s="76" t="s">
        <v>392</v>
      </c>
      <c r="BS19" s="76" t="s">
        <v>1296</v>
      </c>
      <c r="BT19" s="76" t="s">
        <v>438</v>
      </c>
      <c r="BU19" s="120" t="s">
        <v>384</v>
      </c>
      <c r="BV19" s="120" t="s">
        <v>383</v>
      </c>
      <c r="BW19" s="120" t="s">
        <v>383</v>
      </c>
      <c r="BX19" s="120" t="s">
        <v>383</v>
      </c>
      <c r="BY19" s="120" t="s">
        <v>383</v>
      </c>
      <c r="BZ19" s="120" t="s">
        <v>383</v>
      </c>
      <c r="CA19" s="120" t="s">
        <v>383</v>
      </c>
      <c r="CB19" s="76" t="s">
        <v>384</v>
      </c>
      <c r="CC19" s="111" t="s">
        <v>384</v>
      </c>
      <c r="CD19" s="111" t="s">
        <v>1297</v>
      </c>
      <c r="CE19" s="76" t="s">
        <v>384</v>
      </c>
      <c r="CF19" s="76" t="s">
        <v>610</v>
      </c>
      <c r="CG19" s="121" t="s">
        <v>383</v>
      </c>
      <c r="CH19" s="121" t="s">
        <v>383</v>
      </c>
      <c r="CI19" s="121" t="s">
        <v>383</v>
      </c>
      <c r="CJ19" s="121" t="s">
        <v>383</v>
      </c>
      <c r="CK19" s="121" t="s">
        <v>384</v>
      </c>
      <c r="CL19" s="76" t="s">
        <v>384</v>
      </c>
      <c r="CM19" s="76" t="s">
        <v>611</v>
      </c>
      <c r="CN19" s="120" t="s">
        <v>383</v>
      </c>
      <c r="CO19" s="120" t="s">
        <v>383</v>
      </c>
      <c r="CP19" s="120" t="s">
        <v>383</v>
      </c>
      <c r="CQ19" s="120" t="s">
        <v>384</v>
      </c>
      <c r="CR19" s="76" t="s">
        <v>384</v>
      </c>
      <c r="CS19" s="76" t="s">
        <v>440</v>
      </c>
      <c r="CT19" s="120" t="s">
        <v>384</v>
      </c>
      <c r="CU19" s="120" t="s">
        <v>383</v>
      </c>
      <c r="CV19" s="120" t="s">
        <v>383</v>
      </c>
      <c r="CW19" s="76" t="s">
        <v>383</v>
      </c>
      <c r="CX19" s="76" t="s">
        <v>383</v>
      </c>
      <c r="CY19" s="76" t="s">
        <v>383</v>
      </c>
      <c r="CZ19" s="76" t="s">
        <v>392</v>
      </c>
      <c r="DA19" s="76" t="s">
        <v>383</v>
      </c>
      <c r="DB19" s="76" t="s">
        <v>383</v>
      </c>
      <c r="DC19" s="76" t="s">
        <v>383</v>
      </c>
      <c r="DD19" s="111" t="s">
        <v>383</v>
      </c>
      <c r="DE19" s="76" t="s">
        <v>383</v>
      </c>
      <c r="DF19" s="76" t="s">
        <v>384</v>
      </c>
      <c r="DG19" s="76" t="s">
        <v>384</v>
      </c>
      <c r="DH19" s="76" t="s">
        <v>383</v>
      </c>
      <c r="DI19" s="76"/>
      <c r="DJ19" s="76" t="s">
        <v>383</v>
      </c>
      <c r="DK19" s="76" t="s">
        <v>383</v>
      </c>
      <c r="DL19" s="76" t="s">
        <v>384</v>
      </c>
      <c r="DM19" s="76" t="s">
        <v>383</v>
      </c>
      <c r="DN19" s="76"/>
      <c r="DO19" s="76" t="s">
        <v>612</v>
      </c>
      <c r="DP19" s="76" t="s">
        <v>383</v>
      </c>
      <c r="DQ19" s="76" t="s">
        <v>383</v>
      </c>
      <c r="DR19" s="76" t="s">
        <v>383</v>
      </c>
      <c r="DS19" s="75" t="s">
        <v>383</v>
      </c>
      <c r="DT19" s="76" t="s">
        <v>383</v>
      </c>
      <c r="DU19" s="75" t="s">
        <v>383</v>
      </c>
      <c r="DV19" s="76" t="s">
        <v>1298</v>
      </c>
      <c r="DW19" s="111"/>
      <c r="DX19" s="76"/>
    </row>
    <row r="20" spans="2:128" ht="18" customHeight="1">
      <c r="B20" s="110" t="s">
        <v>374</v>
      </c>
      <c r="C20" s="111" t="s">
        <v>219</v>
      </c>
      <c r="D20" s="110" t="s">
        <v>300</v>
      </c>
      <c r="E20" s="111">
        <v>2023</v>
      </c>
      <c r="F20" s="76" t="s">
        <v>381</v>
      </c>
      <c r="G20" s="111" t="s">
        <v>273</v>
      </c>
      <c r="H20" s="127">
        <v>17.3</v>
      </c>
      <c r="I20" s="111"/>
      <c r="J20" s="128" t="s">
        <v>522</v>
      </c>
      <c r="K20" s="111">
        <v>2</v>
      </c>
      <c r="L20" s="111" t="s">
        <v>962</v>
      </c>
      <c r="M20" s="92" t="s">
        <v>1299</v>
      </c>
      <c r="N20" s="141" t="s">
        <v>1577</v>
      </c>
      <c r="O20" s="140"/>
      <c r="P20" s="140" t="s">
        <v>384</v>
      </c>
      <c r="Q20" s="140"/>
      <c r="R20" s="115" t="s">
        <v>1637</v>
      </c>
      <c r="S20" s="140"/>
      <c r="T20" s="140"/>
      <c r="U20" s="140"/>
      <c r="V20" s="111" t="s">
        <v>963</v>
      </c>
      <c r="W20" s="111">
        <v>1980</v>
      </c>
      <c r="X20" s="111">
        <v>2023</v>
      </c>
      <c r="Y20" s="111">
        <f t="shared" si="0"/>
        <v>43</v>
      </c>
      <c r="Z20" s="111">
        <f t="shared" si="1"/>
        <v>0</v>
      </c>
      <c r="AA20" s="111">
        <v>26</v>
      </c>
      <c r="AB20" s="111">
        <v>119</v>
      </c>
      <c r="AC20" s="111">
        <v>2500000</v>
      </c>
      <c r="AD20" s="111" t="s">
        <v>964</v>
      </c>
      <c r="AE20" s="111" t="s">
        <v>383</v>
      </c>
      <c r="AF20" s="111" t="s">
        <v>383</v>
      </c>
      <c r="AG20" s="111" t="s">
        <v>384</v>
      </c>
      <c r="AH20" s="111" t="s">
        <v>384</v>
      </c>
      <c r="AI20" s="113" t="s">
        <v>965</v>
      </c>
      <c r="AJ20" s="111" t="s">
        <v>384</v>
      </c>
      <c r="AK20" s="111" t="s">
        <v>385</v>
      </c>
      <c r="AL20" s="111" t="s">
        <v>966</v>
      </c>
      <c r="AM20" s="111">
        <v>25.5</v>
      </c>
      <c r="AN20" s="111" t="s">
        <v>1300</v>
      </c>
      <c r="AO20" s="111" t="s">
        <v>968</v>
      </c>
      <c r="AP20" s="121" t="s">
        <v>383</v>
      </c>
      <c r="AQ20" s="121" t="s">
        <v>384</v>
      </c>
      <c r="AR20" s="121" t="s">
        <v>383</v>
      </c>
      <c r="AS20" s="121" t="s">
        <v>383</v>
      </c>
      <c r="AT20" s="121" t="s">
        <v>384</v>
      </c>
      <c r="AU20" s="121" t="s">
        <v>384</v>
      </c>
      <c r="AV20" s="121" t="s">
        <v>383</v>
      </c>
      <c r="AW20" s="111" t="s">
        <v>1114</v>
      </c>
      <c r="AX20" s="121" t="s">
        <v>384</v>
      </c>
      <c r="AY20" s="121" t="s">
        <v>383</v>
      </c>
      <c r="AZ20" s="121" t="s">
        <v>384</v>
      </c>
      <c r="BA20" s="121" t="s">
        <v>384</v>
      </c>
      <c r="BB20" s="121" t="s">
        <v>383</v>
      </c>
      <c r="BC20" s="121" t="s">
        <v>383</v>
      </c>
      <c r="BD20" s="121" t="s">
        <v>383</v>
      </c>
      <c r="BE20" s="111" t="s">
        <v>967</v>
      </c>
      <c r="BF20" s="111" t="s">
        <v>384</v>
      </c>
      <c r="BG20" s="111" t="s">
        <v>602</v>
      </c>
      <c r="BH20" s="112">
        <v>0.93</v>
      </c>
      <c r="BI20" s="111">
        <v>100</v>
      </c>
      <c r="BJ20" s="111" t="s">
        <v>384</v>
      </c>
      <c r="BK20" s="140" t="s">
        <v>1596</v>
      </c>
      <c r="BL20" s="111" t="s">
        <v>663</v>
      </c>
      <c r="BM20" s="111" t="s">
        <v>1301</v>
      </c>
      <c r="BN20" s="111" t="s">
        <v>384</v>
      </c>
      <c r="BO20" s="111" t="s">
        <v>479</v>
      </c>
      <c r="BP20" s="111" t="s">
        <v>969</v>
      </c>
      <c r="BQ20" s="111" t="s">
        <v>1026</v>
      </c>
      <c r="BR20" s="111" t="s">
        <v>386</v>
      </c>
      <c r="BS20" s="111" t="s">
        <v>1302</v>
      </c>
      <c r="BT20" s="111" t="s">
        <v>970</v>
      </c>
      <c r="BU20" s="121" t="s">
        <v>384</v>
      </c>
      <c r="BV20" s="121" t="s">
        <v>383</v>
      </c>
      <c r="BW20" s="121" t="s">
        <v>383</v>
      </c>
      <c r="BX20" s="121" t="s">
        <v>383</v>
      </c>
      <c r="BY20" s="121" t="s">
        <v>383</v>
      </c>
      <c r="BZ20" s="121" t="s">
        <v>383</v>
      </c>
      <c r="CA20" s="121" t="s">
        <v>383</v>
      </c>
      <c r="CB20" s="111" t="s">
        <v>383</v>
      </c>
      <c r="CC20" s="111" t="s">
        <v>384</v>
      </c>
      <c r="CD20" s="111" t="s">
        <v>973</v>
      </c>
      <c r="CE20" s="111" t="s">
        <v>384</v>
      </c>
      <c r="CF20" s="75" t="s">
        <v>993</v>
      </c>
      <c r="CG20" s="121" t="s">
        <v>384</v>
      </c>
      <c r="CH20" s="121" t="s">
        <v>383</v>
      </c>
      <c r="CI20" s="121" t="s">
        <v>383</v>
      </c>
      <c r="CJ20" s="121" t="s">
        <v>383</v>
      </c>
      <c r="CK20" s="121" t="s">
        <v>384</v>
      </c>
      <c r="CL20" s="111" t="s">
        <v>384</v>
      </c>
      <c r="CM20" s="111" t="s">
        <v>972</v>
      </c>
      <c r="CN20" s="121" t="s">
        <v>384</v>
      </c>
      <c r="CO20" s="121" t="s">
        <v>384</v>
      </c>
      <c r="CP20" s="121" t="s">
        <v>383</v>
      </c>
      <c r="CQ20" s="121" t="s">
        <v>383</v>
      </c>
      <c r="CR20" s="111" t="s">
        <v>384</v>
      </c>
      <c r="CS20" s="111" t="s">
        <v>545</v>
      </c>
      <c r="CT20" s="121" t="s">
        <v>383</v>
      </c>
      <c r="CU20" s="121" t="s">
        <v>384</v>
      </c>
      <c r="CV20" s="121" t="s">
        <v>383</v>
      </c>
      <c r="CW20" s="111" t="s">
        <v>384</v>
      </c>
      <c r="CX20" s="111" t="s">
        <v>383</v>
      </c>
      <c r="CY20" s="111" t="s">
        <v>384</v>
      </c>
      <c r="CZ20" s="111" t="s">
        <v>971</v>
      </c>
      <c r="DA20" s="111" t="s">
        <v>384</v>
      </c>
      <c r="DB20" s="111" t="s">
        <v>384</v>
      </c>
      <c r="DC20" s="111" t="s">
        <v>384</v>
      </c>
      <c r="DD20" s="111" t="s">
        <v>384</v>
      </c>
      <c r="DE20" s="111" t="s">
        <v>384</v>
      </c>
      <c r="DF20" s="111" t="s">
        <v>384</v>
      </c>
      <c r="DG20" s="111" t="s">
        <v>384</v>
      </c>
      <c r="DH20" s="111" t="s">
        <v>384</v>
      </c>
      <c r="DI20" s="111" t="s">
        <v>1062</v>
      </c>
      <c r="DJ20" s="111" t="s">
        <v>383</v>
      </c>
      <c r="DK20" s="111" t="s">
        <v>384</v>
      </c>
      <c r="DL20" s="111" t="s">
        <v>384</v>
      </c>
      <c r="DM20" s="111" t="s">
        <v>384</v>
      </c>
      <c r="DN20" s="111" t="s">
        <v>1303</v>
      </c>
      <c r="DO20" s="111" t="s">
        <v>1304</v>
      </c>
      <c r="DP20" s="111" t="s">
        <v>384</v>
      </c>
      <c r="DQ20" s="111" t="s">
        <v>384</v>
      </c>
      <c r="DR20" s="111" t="s">
        <v>384</v>
      </c>
      <c r="DS20" s="111" t="s">
        <v>384</v>
      </c>
      <c r="DT20" s="111" t="s">
        <v>384</v>
      </c>
      <c r="DU20" s="111" t="s">
        <v>384</v>
      </c>
      <c r="DV20" s="111"/>
      <c r="DW20" s="111" t="s">
        <v>1079</v>
      </c>
      <c r="DX20" s="111"/>
    </row>
    <row r="21" spans="2:128" ht="60">
      <c r="B21" s="110" t="s">
        <v>333</v>
      </c>
      <c r="C21" s="111" t="s">
        <v>179</v>
      </c>
      <c r="D21" s="111" t="s">
        <v>453</v>
      </c>
      <c r="E21" s="111">
        <v>2020</v>
      </c>
      <c r="F21" s="111" t="s">
        <v>381</v>
      </c>
      <c r="G21" s="111" t="s">
        <v>244</v>
      </c>
      <c r="H21" s="127">
        <v>2.6</v>
      </c>
      <c r="I21" s="111" t="s">
        <v>656</v>
      </c>
      <c r="J21" s="128" t="s">
        <v>1230</v>
      </c>
      <c r="K21" s="111">
        <v>184</v>
      </c>
      <c r="L21" s="111" t="s">
        <v>703</v>
      </c>
      <c r="M21" s="113" t="s">
        <v>1305</v>
      </c>
      <c r="N21" s="141" t="s">
        <v>1569</v>
      </c>
      <c r="O21" s="140" t="s">
        <v>383</v>
      </c>
      <c r="P21" s="140" t="s">
        <v>384</v>
      </c>
      <c r="Q21" s="140" t="s">
        <v>383</v>
      </c>
      <c r="R21" s="140" t="s">
        <v>383</v>
      </c>
      <c r="S21" s="140" t="s">
        <v>383</v>
      </c>
      <c r="T21" s="140" t="s">
        <v>383</v>
      </c>
      <c r="U21" s="140" t="s">
        <v>383</v>
      </c>
      <c r="V21" s="111" t="s">
        <v>704</v>
      </c>
      <c r="W21" s="111">
        <v>2006</v>
      </c>
      <c r="X21" s="111">
        <v>2020</v>
      </c>
      <c r="Y21" s="111">
        <f t="shared" si="0"/>
        <v>14</v>
      </c>
      <c r="Z21" s="111">
        <f t="shared" si="1"/>
        <v>0</v>
      </c>
      <c r="AA21" s="111">
        <v>34</v>
      </c>
      <c r="AB21" s="111">
        <v>1390</v>
      </c>
      <c r="AC21" s="111">
        <v>145744</v>
      </c>
      <c r="AD21" s="111" t="s">
        <v>705</v>
      </c>
      <c r="AE21" s="111" t="s">
        <v>383</v>
      </c>
      <c r="AF21" s="111" t="s">
        <v>383</v>
      </c>
      <c r="AG21" s="111" t="s">
        <v>383</v>
      </c>
      <c r="AH21" s="111" t="s">
        <v>384</v>
      </c>
      <c r="AI21" s="111" t="s">
        <v>709</v>
      </c>
      <c r="AJ21" s="111" t="s">
        <v>383</v>
      </c>
      <c r="AK21" s="111" t="s">
        <v>392</v>
      </c>
      <c r="AL21" s="111" t="s">
        <v>392</v>
      </c>
      <c r="AM21" s="111"/>
      <c r="AN21" s="111" t="s">
        <v>1306</v>
      </c>
      <c r="AO21" s="111" t="s">
        <v>1200</v>
      </c>
      <c r="AP21" s="121" t="s">
        <v>384</v>
      </c>
      <c r="AQ21" s="121" t="s">
        <v>384</v>
      </c>
      <c r="AR21" s="121" t="s">
        <v>383</v>
      </c>
      <c r="AS21" s="121" t="s">
        <v>383</v>
      </c>
      <c r="AT21" s="121" t="s">
        <v>383</v>
      </c>
      <c r="AU21" s="121" t="s">
        <v>383</v>
      </c>
      <c r="AV21" s="121" t="s">
        <v>383</v>
      </c>
      <c r="AW21" s="111" t="s">
        <v>1115</v>
      </c>
      <c r="AX21" s="121" t="s">
        <v>384</v>
      </c>
      <c r="AY21" s="121" t="s">
        <v>384</v>
      </c>
      <c r="AZ21" s="121" t="s">
        <v>384</v>
      </c>
      <c r="BA21" s="121" t="s">
        <v>384</v>
      </c>
      <c r="BB21" s="121" t="s">
        <v>383</v>
      </c>
      <c r="BC21" s="121" t="s">
        <v>383</v>
      </c>
      <c r="BD21" s="121" t="s">
        <v>383</v>
      </c>
      <c r="BE21" s="111" t="s">
        <v>383</v>
      </c>
      <c r="BF21" s="111" t="s">
        <v>383</v>
      </c>
      <c r="BG21" s="111" t="s">
        <v>392</v>
      </c>
      <c r="BH21" s="111" t="s">
        <v>392</v>
      </c>
      <c r="BI21" s="111"/>
      <c r="BJ21" s="111" t="s">
        <v>384</v>
      </c>
      <c r="BK21" s="140" t="s">
        <v>1597</v>
      </c>
      <c r="BL21" s="111" t="s">
        <v>663</v>
      </c>
      <c r="BM21" s="111" t="s">
        <v>1307</v>
      </c>
      <c r="BN21" s="111" t="s">
        <v>383</v>
      </c>
      <c r="BO21" s="111" t="s">
        <v>392</v>
      </c>
      <c r="BP21" s="111" t="s">
        <v>392</v>
      </c>
      <c r="BQ21" s="111" t="s">
        <v>392</v>
      </c>
      <c r="BR21" s="111" t="s">
        <v>392</v>
      </c>
      <c r="BS21" s="111" t="s">
        <v>1308</v>
      </c>
      <c r="BT21" s="111" t="s">
        <v>438</v>
      </c>
      <c r="BU21" s="121" t="s">
        <v>384</v>
      </c>
      <c r="BV21" s="121" t="s">
        <v>383</v>
      </c>
      <c r="BW21" s="121" t="s">
        <v>383</v>
      </c>
      <c r="BX21" s="121" t="s">
        <v>383</v>
      </c>
      <c r="BY21" s="121" t="s">
        <v>383</v>
      </c>
      <c r="BZ21" s="121" t="s">
        <v>383</v>
      </c>
      <c r="CA21" s="121" t="s">
        <v>383</v>
      </c>
      <c r="CB21" s="111" t="s">
        <v>383</v>
      </c>
      <c r="CC21" s="111" t="s">
        <v>383</v>
      </c>
      <c r="CD21" s="111" t="s">
        <v>383</v>
      </c>
      <c r="CE21" s="111" t="s">
        <v>383</v>
      </c>
      <c r="CF21" s="111" t="s">
        <v>383</v>
      </c>
      <c r="CG21" s="121" t="s">
        <v>383</v>
      </c>
      <c r="CH21" s="121" t="s">
        <v>383</v>
      </c>
      <c r="CI21" s="121" t="s">
        <v>383</v>
      </c>
      <c r="CJ21" s="121" t="s">
        <v>383</v>
      </c>
      <c r="CK21" s="121" t="s">
        <v>383</v>
      </c>
      <c r="CL21" s="111" t="s">
        <v>383</v>
      </c>
      <c r="CM21" s="111" t="s">
        <v>383</v>
      </c>
      <c r="CN21" s="121" t="s">
        <v>383</v>
      </c>
      <c r="CO21" s="121" t="s">
        <v>383</v>
      </c>
      <c r="CP21" s="121" t="s">
        <v>383</v>
      </c>
      <c r="CQ21" s="121" t="s">
        <v>383</v>
      </c>
      <c r="CR21" s="111" t="s">
        <v>383</v>
      </c>
      <c r="CS21" s="111" t="s">
        <v>383</v>
      </c>
      <c r="CT21" s="121" t="s">
        <v>383</v>
      </c>
      <c r="CU21" s="121" t="s">
        <v>383</v>
      </c>
      <c r="CV21" s="121" t="s">
        <v>383</v>
      </c>
      <c r="CW21" s="111" t="s">
        <v>383</v>
      </c>
      <c r="CX21" s="111" t="s">
        <v>383</v>
      </c>
      <c r="CY21" s="111" t="s">
        <v>383</v>
      </c>
      <c r="CZ21" s="111" t="s">
        <v>710</v>
      </c>
      <c r="DA21" s="111" t="s">
        <v>384</v>
      </c>
      <c r="DB21" s="111" t="s">
        <v>383</v>
      </c>
      <c r="DC21" s="111" t="s">
        <v>384</v>
      </c>
      <c r="DD21" s="111" t="s">
        <v>383</v>
      </c>
      <c r="DE21" s="111" t="s">
        <v>384</v>
      </c>
      <c r="DF21" s="111" t="s">
        <v>383</v>
      </c>
      <c r="DG21" s="111" t="s">
        <v>383</v>
      </c>
      <c r="DH21" s="111" t="s">
        <v>383</v>
      </c>
      <c r="DI21" s="111"/>
      <c r="DJ21" s="111" t="s">
        <v>383</v>
      </c>
      <c r="DK21" s="111" t="s">
        <v>383</v>
      </c>
      <c r="DL21" s="111" t="s">
        <v>383</v>
      </c>
      <c r="DM21" s="111" t="s">
        <v>384</v>
      </c>
      <c r="DN21" s="111" t="s">
        <v>1309</v>
      </c>
      <c r="DO21" s="111" t="s">
        <v>1310</v>
      </c>
      <c r="DP21" s="111" t="s">
        <v>383</v>
      </c>
      <c r="DQ21" s="111" t="s">
        <v>383</v>
      </c>
      <c r="DR21" s="111" t="s">
        <v>384</v>
      </c>
      <c r="DS21" s="111" t="s">
        <v>383</v>
      </c>
      <c r="DT21" s="75" t="s">
        <v>384</v>
      </c>
      <c r="DU21" s="75" t="s">
        <v>384</v>
      </c>
      <c r="DV21" s="111" t="s">
        <v>1311</v>
      </c>
      <c r="DW21" s="111" t="s">
        <v>715</v>
      </c>
      <c r="DX21" s="111"/>
    </row>
    <row r="22" spans="2:128" ht="135">
      <c r="B22" s="72" t="s">
        <v>368</v>
      </c>
      <c r="C22" s="76" t="s">
        <v>214</v>
      </c>
      <c r="D22" s="76" t="s">
        <v>444</v>
      </c>
      <c r="E22" s="76">
        <v>2019</v>
      </c>
      <c r="F22" s="76" t="s">
        <v>381</v>
      </c>
      <c r="G22" s="76" t="s">
        <v>244</v>
      </c>
      <c r="H22" s="127">
        <v>2.6</v>
      </c>
      <c r="I22" s="76" t="s">
        <v>656</v>
      </c>
      <c r="J22" s="127" t="s">
        <v>1229</v>
      </c>
      <c r="K22" s="76">
        <v>28</v>
      </c>
      <c r="L22" s="76" t="s">
        <v>858</v>
      </c>
      <c r="M22" s="92" t="s">
        <v>1312</v>
      </c>
      <c r="N22" s="141" t="s">
        <v>1577</v>
      </c>
      <c r="O22" s="140" t="s">
        <v>383</v>
      </c>
      <c r="P22" s="140" t="s">
        <v>384</v>
      </c>
      <c r="Q22" s="140" t="s">
        <v>383</v>
      </c>
      <c r="R22" s="140" t="s">
        <v>384</v>
      </c>
      <c r="S22" s="140" t="s">
        <v>383</v>
      </c>
      <c r="T22" s="140" t="s">
        <v>383</v>
      </c>
      <c r="U22" s="140" t="s">
        <v>383</v>
      </c>
      <c r="V22" s="76" t="s">
        <v>583</v>
      </c>
      <c r="W22" s="76">
        <v>2007</v>
      </c>
      <c r="X22" s="76">
        <v>2018</v>
      </c>
      <c r="Y22" s="76">
        <f t="shared" si="0"/>
        <v>11</v>
      </c>
      <c r="Z22" s="76">
        <f t="shared" si="1"/>
        <v>1</v>
      </c>
      <c r="AA22" s="76">
        <v>9</v>
      </c>
      <c r="AB22" s="76">
        <v>484</v>
      </c>
      <c r="AC22" s="76">
        <v>102579</v>
      </c>
      <c r="AD22" s="76" t="s">
        <v>699</v>
      </c>
      <c r="AE22" s="76" t="s">
        <v>383</v>
      </c>
      <c r="AF22" s="76" t="s">
        <v>383</v>
      </c>
      <c r="AG22" s="76" t="s">
        <v>383</v>
      </c>
      <c r="AH22" s="76" t="s">
        <v>384</v>
      </c>
      <c r="AI22" s="76" t="s">
        <v>859</v>
      </c>
      <c r="AJ22" s="76" t="s">
        <v>383</v>
      </c>
      <c r="AK22" s="76" t="s">
        <v>392</v>
      </c>
      <c r="AL22" s="76" t="s">
        <v>392</v>
      </c>
      <c r="AM22" s="76"/>
      <c r="AN22" s="76" t="s">
        <v>1313</v>
      </c>
      <c r="AO22" s="76" t="s">
        <v>1191</v>
      </c>
      <c r="AP22" s="120" t="s">
        <v>383</v>
      </c>
      <c r="AQ22" s="120" t="s">
        <v>383</v>
      </c>
      <c r="AR22" s="120" t="s">
        <v>383</v>
      </c>
      <c r="AS22" s="120" t="s">
        <v>383</v>
      </c>
      <c r="AT22" s="120" t="s">
        <v>384</v>
      </c>
      <c r="AU22" s="120" t="s">
        <v>383</v>
      </c>
      <c r="AV22" s="120" t="s">
        <v>383</v>
      </c>
      <c r="AW22" s="76" t="s">
        <v>876</v>
      </c>
      <c r="AX22" s="121" t="s">
        <v>384</v>
      </c>
      <c r="AY22" s="121" t="s">
        <v>383</v>
      </c>
      <c r="AZ22" s="121" t="s">
        <v>383</v>
      </c>
      <c r="BA22" s="121" t="s">
        <v>383</v>
      </c>
      <c r="BB22" s="121" t="s">
        <v>383</v>
      </c>
      <c r="BC22" s="121" t="s">
        <v>383</v>
      </c>
      <c r="BD22" s="121" t="s">
        <v>383</v>
      </c>
      <c r="BE22" s="76" t="s">
        <v>383</v>
      </c>
      <c r="BF22" s="76" t="s">
        <v>384</v>
      </c>
      <c r="BG22" s="76" t="s">
        <v>860</v>
      </c>
      <c r="BH22" s="76" t="s">
        <v>861</v>
      </c>
      <c r="BI22" s="76">
        <v>100</v>
      </c>
      <c r="BJ22" s="76" t="s">
        <v>384</v>
      </c>
      <c r="BK22" s="140" t="s">
        <v>392</v>
      </c>
      <c r="BL22" s="76" t="s">
        <v>663</v>
      </c>
      <c r="BM22" s="76" t="s">
        <v>1314</v>
      </c>
      <c r="BN22" s="76" t="s">
        <v>383</v>
      </c>
      <c r="BO22" s="76" t="s">
        <v>392</v>
      </c>
      <c r="BP22" s="76" t="s">
        <v>392</v>
      </c>
      <c r="BQ22" s="76" t="s">
        <v>392</v>
      </c>
      <c r="BR22" s="76" t="s">
        <v>392</v>
      </c>
      <c r="BS22" s="76" t="s">
        <v>1315</v>
      </c>
      <c r="BT22" s="76" t="s">
        <v>438</v>
      </c>
      <c r="BU22" s="120" t="s">
        <v>384</v>
      </c>
      <c r="BV22" s="120" t="s">
        <v>383</v>
      </c>
      <c r="BW22" s="120" t="s">
        <v>383</v>
      </c>
      <c r="BX22" s="120" t="s">
        <v>383</v>
      </c>
      <c r="BY22" s="120" t="s">
        <v>383</v>
      </c>
      <c r="BZ22" s="120" t="s">
        <v>383</v>
      </c>
      <c r="CA22" s="120" t="s">
        <v>383</v>
      </c>
      <c r="CB22" s="76" t="s">
        <v>383</v>
      </c>
      <c r="CC22" s="76" t="s">
        <v>383</v>
      </c>
      <c r="CD22" s="76" t="s">
        <v>383</v>
      </c>
      <c r="CE22" s="76" t="s">
        <v>384</v>
      </c>
      <c r="CF22" s="76" t="s">
        <v>435</v>
      </c>
      <c r="CG22" s="120" t="s">
        <v>384</v>
      </c>
      <c r="CH22" s="120" t="s">
        <v>383</v>
      </c>
      <c r="CI22" s="120" t="s">
        <v>383</v>
      </c>
      <c r="CJ22" s="120" t="s">
        <v>383</v>
      </c>
      <c r="CK22" s="120" t="s">
        <v>383</v>
      </c>
      <c r="CL22" s="76" t="s">
        <v>384</v>
      </c>
      <c r="CM22" s="76" t="s">
        <v>562</v>
      </c>
      <c r="CN22" s="120" t="s">
        <v>384</v>
      </c>
      <c r="CO22" s="120" t="s">
        <v>384</v>
      </c>
      <c r="CP22" s="120" t="s">
        <v>383</v>
      </c>
      <c r="CQ22" s="120" t="s">
        <v>383</v>
      </c>
      <c r="CR22" s="76" t="s">
        <v>384</v>
      </c>
      <c r="CS22" s="76" t="s">
        <v>519</v>
      </c>
      <c r="CT22" s="120" t="s">
        <v>383</v>
      </c>
      <c r="CU22" s="120" t="s">
        <v>384</v>
      </c>
      <c r="CV22" s="120" t="s">
        <v>383</v>
      </c>
      <c r="CW22" s="76" t="s">
        <v>383</v>
      </c>
      <c r="CX22" s="76" t="s">
        <v>383</v>
      </c>
      <c r="CY22" s="76" t="s">
        <v>383</v>
      </c>
      <c r="CZ22" s="76" t="s">
        <v>862</v>
      </c>
      <c r="DA22" s="76" t="s">
        <v>384</v>
      </c>
      <c r="DB22" s="76" t="s">
        <v>384</v>
      </c>
      <c r="DC22" s="76" t="s">
        <v>383</v>
      </c>
      <c r="DD22" s="76" t="s">
        <v>384</v>
      </c>
      <c r="DE22" s="76" t="s">
        <v>383</v>
      </c>
      <c r="DF22" s="76" t="s">
        <v>384</v>
      </c>
      <c r="DG22" s="76" t="s">
        <v>384</v>
      </c>
      <c r="DH22" s="76" t="s">
        <v>383</v>
      </c>
      <c r="DI22" s="76" t="s">
        <v>1063</v>
      </c>
      <c r="DJ22" s="76" t="s">
        <v>384</v>
      </c>
      <c r="DK22" s="75" t="s">
        <v>384</v>
      </c>
      <c r="DL22" s="76" t="s">
        <v>383</v>
      </c>
      <c r="DM22" s="76" t="s">
        <v>383</v>
      </c>
      <c r="DN22" s="76" t="s">
        <v>1316</v>
      </c>
      <c r="DO22" s="76" t="s">
        <v>1317</v>
      </c>
      <c r="DP22" s="76" t="s">
        <v>383</v>
      </c>
      <c r="DQ22" s="76" t="s">
        <v>383</v>
      </c>
      <c r="DR22" s="76" t="s">
        <v>384</v>
      </c>
      <c r="DS22" s="76" t="s">
        <v>383</v>
      </c>
      <c r="DT22" s="76" t="s">
        <v>383</v>
      </c>
      <c r="DU22" s="76" t="s">
        <v>383</v>
      </c>
      <c r="DV22" s="76"/>
      <c r="DW22" s="111"/>
      <c r="DX22" s="76"/>
    </row>
    <row r="23" spans="2:128" ht="17.25" customHeight="1">
      <c r="B23" s="72" t="s">
        <v>337</v>
      </c>
      <c r="C23" s="76" t="s">
        <v>183</v>
      </c>
      <c r="D23" s="76" t="s">
        <v>311</v>
      </c>
      <c r="E23" s="76">
        <v>2020</v>
      </c>
      <c r="F23" s="76" t="s">
        <v>381</v>
      </c>
      <c r="G23" s="115" t="s">
        <v>248</v>
      </c>
      <c r="H23" s="127">
        <v>7.3</v>
      </c>
      <c r="I23" s="76" t="s">
        <v>659</v>
      </c>
      <c r="J23" s="127" t="s">
        <v>1230</v>
      </c>
      <c r="K23" s="76">
        <v>6</v>
      </c>
      <c r="L23" s="76" t="s">
        <v>660</v>
      </c>
      <c r="M23" s="92" t="s">
        <v>1318</v>
      </c>
      <c r="N23" s="141" t="s">
        <v>1578</v>
      </c>
      <c r="O23" s="140" t="s">
        <v>383</v>
      </c>
      <c r="P23" s="140" t="s">
        <v>383</v>
      </c>
      <c r="Q23" s="140" t="s">
        <v>383</v>
      </c>
      <c r="R23" s="140" t="s">
        <v>383</v>
      </c>
      <c r="S23" s="140" t="s">
        <v>383</v>
      </c>
      <c r="T23" s="140" t="s">
        <v>383</v>
      </c>
      <c r="U23" s="140" t="s">
        <v>384</v>
      </c>
      <c r="V23" s="76" t="s">
        <v>480</v>
      </c>
      <c r="W23" s="76">
        <v>2009</v>
      </c>
      <c r="X23" s="76">
        <v>2017</v>
      </c>
      <c r="Y23" s="76">
        <f t="shared" si="0"/>
        <v>8</v>
      </c>
      <c r="Z23" s="76">
        <f t="shared" si="1"/>
        <v>3</v>
      </c>
      <c r="AA23" s="76">
        <v>19</v>
      </c>
      <c r="AB23" s="76">
        <v>132</v>
      </c>
      <c r="AC23" s="76">
        <v>10725</v>
      </c>
      <c r="AD23" s="76" t="s">
        <v>661</v>
      </c>
      <c r="AE23" s="76" t="s">
        <v>383</v>
      </c>
      <c r="AF23" s="76" t="s">
        <v>383</v>
      </c>
      <c r="AG23" s="76" t="s">
        <v>383</v>
      </c>
      <c r="AH23" s="76" t="s">
        <v>384</v>
      </c>
      <c r="AI23" s="76" t="s">
        <v>680</v>
      </c>
      <c r="AJ23" s="76" t="s">
        <v>384</v>
      </c>
      <c r="AK23" s="76" t="s">
        <v>392</v>
      </c>
      <c r="AL23" s="76" t="s">
        <v>392</v>
      </c>
      <c r="AM23" s="76">
        <v>100</v>
      </c>
      <c r="AN23" s="111" t="s">
        <v>1319</v>
      </c>
      <c r="AO23" s="76" t="s">
        <v>1013</v>
      </c>
      <c r="AP23" s="120" t="s">
        <v>384</v>
      </c>
      <c r="AQ23" s="120" t="s">
        <v>383</v>
      </c>
      <c r="AR23" s="120" t="s">
        <v>383</v>
      </c>
      <c r="AS23" s="120" t="s">
        <v>383</v>
      </c>
      <c r="AT23" s="120" t="s">
        <v>383</v>
      </c>
      <c r="AU23" s="120" t="s">
        <v>383</v>
      </c>
      <c r="AV23" s="120" t="s">
        <v>383</v>
      </c>
      <c r="AW23" s="76" t="s">
        <v>1116</v>
      </c>
      <c r="AX23" s="121" t="s">
        <v>383</v>
      </c>
      <c r="AY23" s="121" t="s">
        <v>383</v>
      </c>
      <c r="AZ23" s="121" t="s">
        <v>383</v>
      </c>
      <c r="BA23" s="121" t="s">
        <v>384</v>
      </c>
      <c r="BB23" s="121" t="s">
        <v>384</v>
      </c>
      <c r="BC23" s="121" t="s">
        <v>383</v>
      </c>
      <c r="BD23" s="121" t="s">
        <v>383</v>
      </c>
      <c r="BE23" s="76" t="s">
        <v>662</v>
      </c>
      <c r="BF23" s="76" t="s">
        <v>384</v>
      </c>
      <c r="BG23" s="76" t="s">
        <v>392</v>
      </c>
      <c r="BH23" s="76" t="s">
        <v>392</v>
      </c>
      <c r="BI23" s="76">
        <v>100</v>
      </c>
      <c r="BJ23" s="76" t="s">
        <v>384</v>
      </c>
      <c r="BK23" s="140" t="s">
        <v>1598</v>
      </c>
      <c r="BL23" s="76" t="s">
        <v>663</v>
      </c>
      <c r="BM23" s="76" t="s">
        <v>1320</v>
      </c>
      <c r="BN23" s="76" t="s">
        <v>384</v>
      </c>
      <c r="BO23" s="76" t="s">
        <v>479</v>
      </c>
      <c r="BP23" s="76" t="s">
        <v>664</v>
      </c>
      <c r="BQ23" s="76" t="s">
        <v>665</v>
      </c>
      <c r="BR23" s="76" t="s">
        <v>386</v>
      </c>
      <c r="BS23" s="76" t="s">
        <v>1321</v>
      </c>
      <c r="BT23" s="76" t="s">
        <v>438</v>
      </c>
      <c r="BU23" s="120" t="s">
        <v>384</v>
      </c>
      <c r="BV23" s="120" t="s">
        <v>383</v>
      </c>
      <c r="BW23" s="120" t="s">
        <v>383</v>
      </c>
      <c r="BX23" s="120" t="s">
        <v>383</v>
      </c>
      <c r="BY23" s="120" t="s">
        <v>383</v>
      </c>
      <c r="BZ23" s="120" t="s">
        <v>383</v>
      </c>
      <c r="CA23" s="120" t="s">
        <v>383</v>
      </c>
      <c r="CB23" s="76" t="s">
        <v>383</v>
      </c>
      <c r="CC23" s="92" t="s">
        <v>383</v>
      </c>
      <c r="CD23" s="92" t="s">
        <v>383</v>
      </c>
      <c r="CE23" s="76" t="s">
        <v>383</v>
      </c>
      <c r="CF23" s="76" t="s">
        <v>383</v>
      </c>
      <c r="CG23" s="120" t="s">
        <v>383</v>
      </c>
      <c r="CH23" s="120" t="s">
        <v>383</v>
      </c>
      <c r="CI23" s="120" t="s">
        <v>383</v>
      </c>
      <c r="CJ23" s="120" t="s">
        <v>383</v>
      </c>
      <c r="CK23" s="120" t="s">
        <v>383</v>
      </c>
      <c r="CL23" s="76" t="s">
        <v>384</v>
      </c>
      <c r="CM23" s="76" t="s">
        <v>666</v>
      </c>
      <c r="CN23" s="120" t="s">
        <v>384</v>
      </c>
      <c r="CO23" s="120" t="s">
        <v>383</v>
      </c>
      <c r="CP23" s="120" t="s">
        <v>384</v>
      </c>
      <c r="CQ23" s="120" t="s">
        <v>383</v>
      </c>
      <c r="CR23" s="76" t="s">
        <v>384</v>
      </c>
      <c r="CS23" s="76" t="s">
        <v>545</v>
      </c>
      <c r="CT23" s="120" t="s">
        <v>383</v>
      </c>
      <c r="CU23" s="120" t="s">
        <v>384</v>
      </c>
      <c r="CV23" s="120" t="s">
        <v>383</v>
      </c>
      <c r="CW23" s="76" t="s">
        <v>383</v>
      </c>
      <c r="CX23" s="76" t="s">
        <v>383</v>
      </c>
      <c r="CY23" s="76" t="s">
        <v>383</v>
      </c>
      <c r="CZ23" s="76" t="s">
        <v>667</v>
      </c>
      <c r="DA23" s="76" t="s">
        <v>384</v>
      </c>
      <c r="DB23" s="76" t="s">
        <v>383</v>
      </c>
      <c r="DC23" s="76" t="s">
        <v>384</v>
      </c>
      <c r="DD23" s="76" t="s">
        <v>383</v>
      </c>
      <c r="DE23" s="76" t="s">
        <v>384</v>
      </c>
      <c r="DF23" s="76" t="s">
        <v>383</v>
      </c>
      <c r="DG23" s="76" t="s">
        <v>383</v>
      </c>
      <c r="DH23" s="76" t="s">
        <v>384</v>
      </c>
      <c r="DI23" s="76"/>
      <c r="DJ23" s="76" t="s">
        <v>383</v>
      </c>
      <c r="DK23" s="75" t="s">
        <v>383</v>
      </c>
      <c r="DL23" s="76" t="s">
        <v>383</v>
      </c>
      <c r="DM23" s="76" t="s">
        <v>383</v>
      </c>
      <c r="DN23" s="76" t="s">
        <v>1322</v>
      </c>
      <c r="DO23" s="76" t="s">
        <v>1323</v>
      </c>
      <c r="DP23" s="76" t="s">
        <v>384</v>
      </c>
      <c r="DQ23" s="76" t="s">
        <v>383</v>
      </c>
      <c r="DR23" s="76" t="s">
        <v>383</v>
      </c>
      <c r="DS23" s="76" t="s">
        <v>383</v>
      </c>
      <c r="DT23" s="76" t="s">
        <v>383</v>
      </c>
      <c r="DU23" s="76" t="s">
        <v>383</v>
      </c>
      <c r="DV23" s="76"/>
      <c r="DW23" s="111"/>
      <c r="DX23" s="76"/>
    </row>
    <row r="24" spans="2:128" ht="13.5" customHeight="1">
      <c r="B24" s="72" t="s">
        <v>349</v>
      </c>
      <c r="C24" s="111" t="s">
        <v>195</v>
      </c>
      <c r="D24" s="111" t="s">
        <v>285</v>
      </c>
      <c r="E24" s="111">
        <v>2019</v>
      </c>
      <c r="F24" s="111" t="s">
        <v>381</v>
      </c>
      <c r="G24" s="111" t="s">
        <v>257</v>
      </c>
      <c r="H24" s="127">
        <v>2.6</v>
      </c>
      <c r="I24" s="111" t="s">
        <v>688</v>
      </c>
      <c r="J24" s="128" t="s">
        <v>1231</v>
      </c>
      <c r="K24" s="111">
        <v>90</v>
      </c>
      <c r="L24" s="111" t="s">
        <v>889</v>
      </c>
      <c r="M24" s="113" t="s">
        <v>1324</v>
      </c>
      <c r="N24" s="141" t="s">
        <v>1579</v>
      </c>
      <c r="O24" s="140" t="s">
        <v>383</v>
      </c>
      <c r="P24" s="140" t="s">
        <v>383</v>
      </c>
      <c r="Q24" s="140" t="s">
        <v>384</v>
      </c>
      <c r="R24" s="140" t="s">
        <v>383</v>
      </c>
      <c r="S24" s="140" t="s">
        <v>383</v>
      </c>
      <c r="T24" s="140" t="s">
        <v>383</v>
      </c>
      <c r="U24" s="140" t="s">
        <v>383</v>
      </c>
      <c r="V24" s="111" t="s">
        <v>588</v>
      </c>
      <c r="W24" s="75">
        <v>1998</v>
      </c>
      <c r="X24" s="111">
        <v>2013</v>
      </c>
      <c r="Y24" s="111">
        <f t="shared" si="0"/>
        <v>15</v>
      </c>
      <c r="Z24" s="111">
        <f t="shared" si="1"/>
        <v>6</v>
      </c>
      <c r="AA24" s="111">
        <v>101</v>
      </c>
      <c r="AB24" s="111">
        <v>178</v>
      </c>
      <c r="AC24" s="111">
        <v>37668</v>
      </c>
      <c r="AD24" s="111" t="s">
        <v>937</v>
      </c>
      <c r="AE24" s="111" t="s">
        <v>383</v>
      </c>
      <c r="AF24" s="111" t="s">
        <v>383</v>
      </c>
      <c r="AG24" s="111" t="s">
        <v>383</v>
      </c>
      <c r="AH24" s="111" t="s">
        <v>384</v>
      </c>
      <c r="AI24" s="111" t="s">
        <v>936</v>
      </c>
      <c r="AJ24" s="111" t="s">
        <v>383</v>
      </c>
      <c r="AK24" s="111" t="s">
        <v>392</v>
      </c>
      <c r="AL24" s="111" t="s">
        <v>392</v>
      </c>
      <c r="AM24" s="111"/>
      <c r="AN24" s="111" t="s">
        <v>392</v>
      </c>
      <c r="AO24" s="111" t="s">
        <v>1195</v>
      </c>
      <c r="AP24" s="121" t="s">
        <v>383</v>
      </c>
      <c r="AQ24" s="121" t="s">
        <v>383</v>
      </c>
      <c r="AR24" s="121" t="s">
        <v>383</v>
      </c>
      <c r="AS24" s="121" t="s">
        <v>383</v>
      </c>
      <c r="AT24" s="121" t="s">
        <v>384</v>
      </c>
      <c r="AU24" s="121" t="s">
        <v>383</v>
      </c>
      <c r="AV24" s="121" t="s">
        <v>383</v>
      </c>
      <c r="AW24" s="111" t="s">
        <v>1117</v>
      </c>
      <c r="AX24" s="121" t="s">
        <v>384</v>
      </c>
      <c r="AY24" s="121" t="s">
        <v>383</v>
      </c>
      <c r="AZ24" s="121" t="s">
        <v>383</v>
      </c>
      <c r="BA24" s="121" t="s">
        <v>383</v>
      </c>
      <c r="BB24" s="121" t="s">
        <v>383</v>
      </c>
      <c r="BC24" s="121" t="s">
        <v>383</v>
      </c>
      <c r="BD24" s="121" t="s">
        <v>384</v>
      </c>
      <c r="BE24" s="111" t="s">
        <v>383</v>
      </c>
      <c r="BF24" s="111" t="s">
        <v>384</v>
      </c>
      <c r="BG24" s="111" t="s">
        <v>602</v>
      </c>
      <c r="BH24" s="112">
        <v>0.99</v>
      </c>
      <c r="BI24" s="111"/>
      <c r="BJ24" s="111" t="s">
        <v>383</v>
      </c>
      <c r="BK24" s="140"/>
      <c r="BL24" s="111" t="s">
        <v>392</v>
      </c>
      <c r="BM24" s="111" t="s">
        <v>392</v>
      </c>
      <c r="BN24" s="111" t="s">
        <v>383</v>
      </c>
      <c r="BO24" s="111" t="s">
        <v>392</v>
      </c>
      <c r="BP24" s="111" t="s">
        <v>392</v>
      </c>
      <c r="BQ24" s="111" t="s">
        <v>392</v>
      </c>
      <c r="BR24" s="111" t="s">
        <v>392</v>
      </c>
      <c r="BS24" s="111" t="s">
        <v>1325</v>
      </c>
      <c r="BT24" s="111" t="s">
        <v>438</v>
      </c>
      <c r="BU24" s="121" t="s">
        <v>384</v>
      </c>
      <c r="BV24" s="121" t="s">
        <v>383</v>
      </c>
      <c r="BW24" s="121" t="s">
        <v>383</v>
      </c>
      <c r="BX24" s="121" t="s">
        <v>383</v>
      </c>
      <c r="BY24" s="121" t="s">
        <v>383</v>
      </c>
      <c r="BZ24" s="121" t="s">
        <v>383</v>
      </c>
      <c r="CA24" s="121" t="s">
        <v>383</v>
      </c>
      <c r="CB24" s="111" t="s">
        <v>383</v>
      </c>
      <c r="CC24" s="111" t="s">
        <v>383</v>
      </c>
      <c r="CD24" s="111" t="s">
        <v>383</v>
      </c>
      <c r="CE24" s="111" t="s">
        <v>383</v>
      </c>
      <c r="CF24" s="111" t="s">
        <v>383</v>
      </c>
      <c r="CG24" s="121" t="s">
        <v>383</v>
      </c>
      <c r="CH24" s="121" t="s">
        <v>383</v>
      </c>
      <c r="CI24" s="121" t="s">
        <v>383</v>
      </c>
      <c r="CJ24" s="121" t="s">
        <v>383</v>
      </c>
      <c r="CK24" s="121" t="s">
        <v>383</v>
      </c>
      <c r="CL24" s="111" t="s">
        <v>384</v>
      </c>
      <c r="CM24" s="111" t="s">
        <v>938</v>
      </c>
      <c r="CN24" s="121" t="s">
        <v>383</v>
      </c>
      <c r="CO24" s="121" t="s">
        <v>383</v>
      </c>
      <c r="CP24" s="121" t="s">
        <v>383</v>
      </c>
      <c r="CQ24" s="121" t="s">
        <v>384</v>
      </c>
      <c r="CR24" s="111" t="s">
        <v>384</v>
      </c>
      <c r="CS24" s="111" t="s">
        <v>440</v>
      </c>
      <c r="CT24" s="121" t="s">
        <v>384</v>
      </c>
      <c r="CU24" s="121" t="s">
        <v>383</v>
      </c>
      <c r="CV24" s="121" t="s">
        <v>383</v>
      </c>
      <c r="CW24" s="111" t="s">
        <v>383</v>
      </c>
      <c r="CX24" s="111" t="s">
        <v>383</v>
      </c>
      <c r="CY24" s="111" t="s">
        <v>383</v>
      </c>
      <c r="CZ24" s="111" t="s">
        <v>392</v>
      </c>
      <c r="DA24" s="111" t="s">
        <v>383</v>
      </c>
      <c r="DB24" s="111" t="s">
        <v>383</v>
      </c>
      <c r="DC24" s="111" t="s">
        <v>383</v>
      </c>
      <c r="DD24" s="111" t="s">
        <v>383</v>
      </c>
      <c r="DE24" s="111" t="s">
        <v>383</v>
      </c>
      <c r="DF24" s="111" t="s">
        <v>384</v>
      </c>
      <c r="DG24" s="111" t="s">
        <v>384</v>
      </c>
      <c r="DH24" s="111" t="s">
        <v>383</v>
      </c>
      <c r="DI24" s="111"/>
      <c r="DJ24" s="111" t="s">
        <v>383</v>
      </c>
      <c r="DK24" s="111" t="s">
        <v>383</v>
      </c>
      <c r="DL24" s="111" t="s">
        <v>383</v>
      </c>
      <c r="DM24" s="111" t="s">
        <v>384</v>
      </c>
      <c r="DN24" s="111"/>
      <c r="DO24" s="111" t="s">
        <v>1326</v>
      </c>
      <c r="DP24" s="111" t="s">
        <v>383</v>
      </c>
      <c r="DQ24" s="111" t="s">
        <v>383</v>
      </c>
      <c r="DR24" s="111" t="s">
        <v>383</v>
      </c>
      <c r="DS24" s="111" t="s">
        <v>383</v>
      </c>
      <c r="DT24" s="111" t="s">
        <v>383</v>
      </c>
      <c r="DU24" s="111" t="s">
        <v>383</v>
      </c>
      <c r="DV24" s="111"/>
      <c r="DW24" s="111" t="s">
        <v>1327</v>
      </c>
      <c r="DX24" s="111"/>
    </row>
    <row r="25" spans="2:128" ht="15" customHeight="1">
      <c r="B25" s="72" t="s">
        <v>356</v>
      </c>
      <c r="C25" s="76" t="s">
        <v>202</v>
      </c>
      <c r="D25" s="76" t="s">
        <v>289</v>
      </c>
      <c r="E25" s="76">
        <v>2020</v>
      </c>
      <c r="F25" s="76" t="s">
        <v>381</v>
      </c>
      <c r="G25" s="115" t="s">
        <v>261</v>
      </c>
      <c r="H25" s="127">
        <v>7.6</v>
      </c>
      <c r="I25" s="76" t="s">
        <v>423</v>
      </c>
      <c r="J25" s="127" t="s">
        <v>1230</v>
      </c>
      <c r="K25" s="76">
        <v>22</v>
      </c>
      <c r="L25" s="76" t="s">
        <v>424</v>
      </c>
      <c r="M25" s="92" t="s">
        <v>1330</v>
      </c>
      <c r="N25" s="141" t="s">
        <v>1569</v>
      </c>
      <c r="O25" s="140" t="s">
        <v>383</v>
      </c>
      <c r="P25" s="140" t="s">
        <v>384</v>
      </c>
      <c r="Q25" s="140" t="s">
        <v>383</v>
      </c>
      <c r="R25" s="140" t="s">
        <v>383</v>
      </c>
      <c r="S25" s="140" t="s">
        <v>383</v>
      </c>
      <c r="T25" s="140" t="s">
        <v>383</v>
      </c>
      <c r="U25" s="140" t="s">
        <v>383</v>
      </c>
      <c r="V25" s="76" t="s">
        <v>425</v>
      </c>
      <c r="W25" s="76">
        <v>2008</v>
      </c>
      <c r="X25" s="76">
        <v>2019</v>
      </c>
      <c r="Y25" s="76">
        <f t="shared" si="0"/>
        <v>11</v>
      </c>
      <c r="Z25" s="76">
        <f t="shared" si="1"/>
        <v>1</v>
      </c>
      <c r="AA25" s="75">
        <v>8</v>
      </c>
      <c r="AB25" s="111">
        <v>99</v>
      </c>
      <c r="AC25" s="76">
        <v>3212</v>
      </c>
      <c r="AD25" s="76" t="s">
        <v>426</v>
      </c>
      <c r="AE25" s="76" t="s">
        <v>384</v>
      </c>
      <c r="AF25" s="76" t="s">
        <v>383</v>
      </c>
      <c r="AG25" s="76" t="s">
        <v>383</v>
      </c>
      <c r="AH25" s="76" t="s">
        <v>384</v>
      </c>
      <c r="AI25" s="76" t="s">
        <v>468</v>
      </c>
      <c r="AJ25" s="76" t="s">
        <v>384</v>
      </c>
      <c r="AK25" s="76" t="s">
        <v>430</v>
      </c>
      <c r="AL25" s="111" t="s">
        <v>431</v>
      </c>
      <c r="AM25" s="76">
        <v>100</v>
      </c>
      <c r="AN25" s="76" t="s">
        <v>1329</v>
      </c>
      <c r="AO25" s="76" t="s">
        <v>427</v>
      </c>
      <c r="AP25" s="120" t="s">
        <v>384</v>
      </c>
      <c r="AQ25" s="120" t="s">
        <v>383</v>
      </c>
      <c r="AR25" s="120" t="s">
        <v>383</v>
      </c>
      <c r="AS25" s="120" t="s">
        <v>383</v>
      </c>
      <c r="AT25" s="120" t="s">
        <v>383</v>
      </c>
      <c r="AU25" s="120" t="s">
        <v>383</v>
      </c>
      <c r="AV25" s="120" t="s">
        <v>384</v>
      </c>
      <c r="AW25" s="76" t="s">
        <v>428</v>
      </c>
      <c r="AX25" s="121" t="s">
        <v>383</v>
      </c>
      <c r="AY25" s="121" t="s">
        <v>384</v>
      </c>
      <c r="AZ25" s="121" t="s">
        <v>383</v>
      </c>
      <c r="BA25" s="121" t="s">
        <v>384</v>
      </c>
      <c r="BB25" s="121" t="s">
        <v>383</v>
      </c>
      <c r="BC25" s="121" t="s">
        <v>383</v>
      </c>
      <c r="BD25" s="121" t="s">
        <v>383</v>
      </c>
      <c r="BE25" s="76" t="s">
        <v>383</v>
      </c>
      <c r="BF25" s="75" t="s">
        <v>568</v>
      </c>
      <c r="BG25" s="76" t="s">
        <v>385</v>
      </c>
      <c r="BH25" s="75" t="s">
        <v>469</v>
      </c>
      <c r="BI25" s="75">
        <v>100</v>
      </c>
      <c r="BJ25" s="76" t="s">
        <v>384</v>
      </c>
      <c r="BK25" s="140" t="s">
        <v>392</v>
      </c>
      <c r="BL25" s="76" t="s">
        <v>392</v>
      </c>
      <c r="BM25" s="76" t="s">
        <v>392</v>
      </c>
      <c r="BN25" s="76" t="s">
        <v>384</v>
      </c>
      <c r="BO25" s="76" t="s">
        <v>479</v>
      </c>
      <c r="BP25" s="76" t="s">
        <v>429</v>
      </c>
      <c r="BQ25" s="76" t="s">
        <v>432</v>
      </c>
      <c r="BR25" s="76" t="s">
        <v>433</v>
      </c>
      <c r="BS25" s="76" t="s">
        <v>1328</v>
      </c>
      <c r="BT25" s="76" t="s">
        <v>438</v>
      </c>
      <c r="BU25" s="120" t="s">
        <v>384</v>
      </c>
      <c r="BV25" s="120" t="s">
        <v>383</v>
      </c>
      <c r="BW25" s="120" t="s">
        <v>383</v>
      </c>
      <c r="BX25" s="120" t="s">
        <v>383</v>
      </c>
      <c r="BY25" s="120" t="s">
        <v>383</v>
      </c>
      <c r="BZ25" s="120" t="s">
        <v>383</v>
      </c>
      <c r="CA25" s="120" t="s">
        <v>383</v>
      </c>
      <c r="CB25" s="76" t="s">
        <v>383</v>
      </c>
      <c r="CC25" s="76" t="s">
        <v>383</v>
      </c>
      <c r="CD25" s="76" t="s">
        <v>434</v>
      </c>
      <c r="CE25" s="76" t="s">
        <v>384</v>
      </c>
      <c r="CF25" s="76" t="s">
        <v>470</v>
      </c>
      <c r="CG25" s="120" t="s">
        <v>384</v>
      </c>
      <c r="CH25" s="120" t="s">
        <v>383</v>
      </c>
      <c r="CI25" s="120" t="s">
        <v>383</v>
      </c>
      <c r="CJ25" s="120" t="s">
        <v>383</v>
      </c>
      <c r="CK25" s="120" t="s">
        <v>384</v>
      </c>
      <c r="CL25" s="76" t="s">
        <v>384</v>
      </c>
      <c r="CM25" s="76" t="s">
        <v>1331</v>
      </c>
      <c r="CN25" s="120" t="s">
        <v>384</v>
      </c>
      <c r="CO25" s="120" t="s">
        <v>384</v>
      </c>
      <c r="CP25" s="120" t="s">
        <v>383</v>
      </c>
      <c r="CQ25" s="120" t="s">
        <v>383</v>
      </c>
      <c r="CR25" s="76" t="s">
        <v>383</v>
      </c>
      <c r="CS25" s="76" t="s">
        <v>383</v>
      </c>
      <c r="CT25" s="120" t="s">
        <v>383</v>
      </c>
      <c r="CU25" s="120" t="s">
        <v>383</v>
      </c>
      <c r="CV25" s="120" t="s">
        <v>383</v>
      </c>
      <c r="CW25" s="76" t="s">
        <v>383</v>
      </c>
      <c r="CX25" s="76" t="s">
        <v>383</v>
      </c>
      <c r="CY25" s="76" t="s">
        <v>383</v>
      </c>
      <c r="CZ25" s="75" t="s">
        <v>471</v>
      </c>
      <c r="DA25" s="76" t="s">
        <v>384</v>
      </c>
      <c r="DB25" s="76" t="s">
        <v>384</v>
      </c>
      <c r="DC25" s="76" t="s">
        <v>384</v>
      </c>
      <c r="DD25" s="76" t="s">
        <v>384</v>
      </c>
      <c r="DE25" s="76" t="s">
        <v>384</v>
      </c>
      <c r="DF25" s="76" t="s">
        <v>383</v>
      </c>
      <c r="DG25" s="76" t="s">
        <v>383</v>
      </c>
      <c r="DH25" s="76" t="s">
        <v>384</v>
      </c>
      <c r="DI25" s="76" t="s">
        <v>1064</v>
      </c>
      <c r="DJ25" s="76" t="s">
        <v>384</v>
      </c>
      <c r="DK25" s="76" t="s">
        <v>383</v>
      </c>
      <c r="DL25" s="76" t="s">
        <v>383</v>
      </c>
      <c r="DM25" s="76" t="s">
        <v>383</v>
      </c>
      <c r="DN25" s="111"/>
      <c r="DO25" s="76" t="s">
        <v>441</v>
      </c>
      <c r="DP25" s="76" t="s">
        <v>383</v>
      </c>
      <c r="DQ25" s="76" t="s">
        <v>383</v>
      </c>
      <c r="DR25" s="76" t="s">
        <v>384</v>
      </c>
      <c r="DS25" s="76" t="s">
        <v>383</v>
      </c>
      <c r="DT25" s="76" t="s">
        <v>383</v>
      </c>
      <c r="DU25" s="76" t="s">
        <v>383</v>
      </c>
      <c r="DV25" s="76" t="s">
        <v>472</v>
      </c>
      <c r="DW25" s="111" t="s">
        <v>1332</v>
      </c>
      <c r="DX25" s="76"/>
    </row>
    <row r="26" spans="2:128" ht="12.75" customHeight="1">
      <c r="B26" s="72" t="s">
        <v>336</v>
      </c>
      <c r="C26" s="76" t="s">
        <v>182</v>
      </c>
      <c r="D26" s="76" t="s">
        <v>452</v>
      </c>
      <c r="E26" s="76">
        <v>2021</v>
      </c>
      <c r="F26" s="76" t="s">
        <v>381</v>
      </c>
      <c r="G26" s="76" t="s">
        <v>247</v>
      </c>
      <c r="H26" s="127">
        <v>3.3</v>
      </c>
      <c r="I26" s="76" t="s">
        <v>486</v>
      </c>
      <c r="J26" s="127" t="s">
        <v>522</v>
      </c>
      <c r="K26" s="76">
        <v>40</v>
      </c>
      <c r="L26" s="76" t="s">
        <v>487</v>
      </c>
      <c r="M26" s="92" t="s">
        <v>1333</v>
      </c>
      <c r="N26" s="141" t="s">
        <v>1577</v>
      </c>
      <c r="O26" s="140" t="s">
        <v>383</v>
      </c>
      <c r="P26" s="140" t="s">
        <v>384</v>
      </c>
      <c r="Q26" s="140" t="s">
        <v>383</v>
      </c>
      <c r="R26" s="140" t="s">
        <v>384</v>
      </c>
      <c r="S26" s="140" t="s">
        <v>383</v>
      </c>
      <c r="T26" s="140" t="s">
        <v>383</v>
      </c>
      <c r="U26" s="140" t="s">
        <v>383</v>
      </c>
      <c r="V26" s="76" t="s">
        <v>484</v>
      </c>
      <c r="W26" s="76">
        <v>2017</v>
      </c>
      <c r="X26" s="76">
        <v>2020</v>
      </c>
      <c r="Y26" s="76">
        <f t="shared" si="0"/>
        <v>3</v>
      </c>
      <c r="Z26" s="76">
        <f t="shared" si="1"/>
        <v>1</v>
      </c>
      <c r="AA26" s="76">
        <v>15</v>
      </c>
      <c r="AB26" s="76"/>
      <c r="AC26" s="111">
        <v>156722</v>
      </c>
      <c r="AD26" s="76" t="s">
        <v>490</v>
      </c>
      <c r="AE26" s="80" t="s">
        <v>384</v>
      </c>
      <c r="AF26" s="76" t="s">
        <v>491</v>
      </c>
      <c r="AG26" s="76" t="s">
        <v>384</v>
      </c>
      <c r="AH26" s="76" t="s">
        <v>384</v>
      </c>
      <c r="AI26" s="76" t="s">
        <v>493</v>
      </c>
      <c r="AJ26" s="76" t="s">
        <v>383</v>
      </c>
      <c r="AK26" s="76" t="s">
        <v>392</v>
      </c>
      <c r="AL26" s="76" t="s">
        <v>392</v>
      </c>
      <c r="AM26" s="76"/>
      <c r="AN26" s="92" t="s">
        <v>1334</v>
      </c>
      <c r="AO26" s="76" t="s">
        <v>1199</v>
      </c>
      <c r="AP26" s="120" t="s">
        <v>384</v>
      </c>
      <c r="AQ26" s="120" t="s">
        <v>383</v>
      </c>
      <c r="AR26" s="120" t="s">
        <v>384</v>
      </c>
      <c r="AS26" s="120" t="s">
        <v>383</v>
      </c>
      <c r="AT26" s="120" t="s">
        <v>383</v>
      </c>
      <c r="AU26" s="120" t="s">
        <v>383</v>
      </c>
      <c r="AV26" s="120" t="s">
        <v>383</v>
      </c>
      <c r="AW26" s="75" t="s">
        <v>1118</v>
      </c>
      <c r="AX26" s="121" t="s">
        <v>383</v>
      </c>
      <c r="AY26" s="121" t="s">
        <v>384</v>
      </c>
      <c r="AZ26" s="121" t="s">
        <v>384</v>
      </c>
      <c r="BA26" s="121" t="s">
        <v>384</v>
      </c>
      <c r="BB26" s="121" t="s">
        <v>383</v>
      </c>
      <c r="BC26" s="121" t="s">
        <v>383</v>
      </c>
      <c r="BD26" s="121" t="s">
        <v>383</v>
      </c>
      <c r="BE26" s="76" t="s">
        <v>383</v>
      </c>
      <c r="BF26" s="76" t="s">
        <v>384</v>
      </c>
      <c r="BG26" s="76" t="s">
        <v>478</v>
      </c>
      <c r="BH26" s="87" t="s">
        <v>496</v>
      </c>
      <c r="BI26" s="75">
        <v>41.67</v>
      </c>
      <c r="BJ26" s="76" t="s">
        <v>384</v>
      </c>
      <c r="BK26" s="140" t="s">
        <v>1599</v>
      </c>
      <c r="BL26" s="75" t="s">
        <v>1335</v>
      </c>
      <c r="BM26" s="76" t="s">
        <v>497</v>
      </c>
      <c r="BN26" s="76" t="s">
        <v>384</v>
      </c>
      <c r="BO26" s="76" t="s">
        <v>479</v>
      </c>
      <c r="BP26" s="76" t="s">
        <v>405</v>
      </c>
      <c r="BQ26" s="76" t="s">
        <v>1336</v>
      </c>
      <c r="BR26" s="76" t="s">
        <v>386</v>
      </c>
      <c r="BS26" s="75" t="s">
        <v>1033</v>
      </c>
      <c r="BT26" s="75" t="s">
        <v>438</v>
      </c>
      <c r="BU26" s="121" t="s">
        <v>384</v>
      </c>
      <c r="BV26" s="121" t="s">
        <v>383</v>
      </c>
      <c r="BW26" s="121" t="s">
        <v>383</v>
      </c>
      <c r="BX26" s="121" t="s">
        <v>383</v>
      </c>
      <c r="BY26" s="121" t="s">
        <v>383</v>
      </c>
      <c r="BZ26" s="121" t="s">
        <v>383</v>
      </c>
      <c r="CA26" s="121" t="s">
        <v>383</v>
      </c>
      <c r="CB26" s="76" t="s">
        <v>383</v>
      </c>
      <c r="CC26" s="79" t="s">
        <v>383</v>
      </c>
      <c r="CD26" s="76" t="s">
        <v>383</v>
      </c>
      <c r="CE26" s="76" t="s">
        <v>384</v>
      </c>
      <c r="CF26" s="75" t="s">
        <v>1150</v>
      </c>
      <c r="CG26" s="121" t="s">
        <v>384</v>
      </c>
      <c r="CH26" s="121" t="s">
        <v>384</v>
      </c>
      <c r="CI26" s="121" t="s">
        <v>384</v>
      </c>
      <c r="CJ26" s="121" t="s">
        <v>384</v>
      </c>
      <c r="CK26" s="121" t="s">
        <v>384</v>
      </c>
      <c r="CL26" s="111" t="s">
        <v>384</v>
      </c>
      <c r="CM26" s="75" t="s">
        <v>498</v>
      </c>
      <c r="CN26" s="121" t="s">
        <v>383</v>
      </c>
      <c r="CO26" s="121" t="s">
        <v>384</v>
      </c>
      <c r="CP26" s="121" t="s">
        <v>383</v>
      </c>
      <c r="CQ26" s="121" t="s">
        <v>383</v>
      </c>
      <c r="CR26" s="76" t="s">
        <v>384</v>
      </c>
      <c r="CS26" s="76" t="s">
        <v>440</v>
      </c>
      <c r="CT26" s="120" t="s">
        <v>384</v>
      </c>
      <c r="CU26" s="120" t="s">
        <v>383</v>
      </c>
      <c r="CV26" s="120" t="s">
        <v>383</v>
      </c>
      <c r="CW26" s="75" t="s">
        <v>384</v>
      </c>
      <c r="CX26" s="76" t="s">
        <v>383</v>
      </c>
      <c r="CY26" s="76" t="s">
        <v>383</v>
      </c>
      <c r="CZ26" s="76" t="s">
        <v>499</v>
      </c>
      <c r="DA26" s="76" t="s">
        <v>384</v>
      </c>
      <c r="DB26" s="76" t="s">
        <v>384</v>
      </c>
      <c r="DC26" s="76" t="s">
        <v>384</v>
      </c>
      <c r="DD26" s="76" t="s">
        <v>383</v>
      </c>
      <c r="DE26" s="76" t="s">
        <v>384</v>
      </c>
      <c r="DF26" s="76" t="s">
        <v>383</v>
      </c>
      <c r="DG26" s="76" t="s">
        <v>384</v>
      </c>
      <c r="DH26" s="76" t="s">
        <v>383</v>
      </c>
      <c r="DI26" s="76"/>
      <c r="DJ26" s="76" t="s">
        <v>384</v>
      </c>
      <c r="DK26" s="76" t="s">
        <v>383</v>
      </c>
      <c r="DL26" s="76" t="s">
        <v>383</v>
      </c>
      <c r="DM26" s="76" t="s">
        <v>383</v>
      </c>
      <c r="DN26" s="76"/>
      <c r="DO26" s="75" t="s">
        <v>1337</v>
      </c>
      <c r="DP26" s="76" t="s">
        <v>383</v>
      </c>
      <c r="DQ26" s="76" t="s">
        <v>383</v>
      </c>
      <c r="DR26" s="76" t="s">
        <v>384</v>
      </c>
      <c r="DS26" s="76" t="s">
        <v>383</v>
      </c>
      <c r="DT26" s="76" t="s">
        <v>383</v>
      </c>
      <c r="DU26" s="76" t="s">
        <v>383</v>
      </c>
      <c r="DV26" s="76" t="s">
        <v>501</v>
      </c>
      <c r="DW26" s="111" t="s">
        <v>1107</v>
      </c>
      <c r="DX26" s="76"/>
    </row>
    <row r="27" spans="2:128" ht="15" customHeight="1">
      <c r="B27" s="72" t="s">
        <v>372</v>
      </c>
      <c r="C27" s="76" t="s">
        <v>218</v>
      </c>
      <c r="D27" s="76" t="s">
        <v>302</v>
      </c>
      <c r="E27" s="76">
        <v>2022</v>
      </c>
      <c r="F27" s="76" t="s">
        <v>381</v>
      </c>
      <c r="G27" s="76" t="s">
        <v>273</v>
      </c>
      <c r="H27" s="127">
        <v>17.3</v>
      </c>
      <c r="I27" s="76" t="s">
        <v>850</v>
      </c>
      <c r="J27" s="127" t="s">
        <v>522</v>
      </c>
      <c r="K27" s="76">
        <v>53</v>
      </c>
      <c r="L27" s="76" t="s">
        <v>554</v>
      </c>
      <c r="M27" s="92" t="s">
        <v>1539</v>
      </c>
      <c r="N27" s="141" t="s">
        <v>1580</v>
      </c>
      <c r="O27" s="140" t="s">
        <v>383</v>
      </c>
      <c r="P27" s="140" t="s">
        <v>384</v>
      </c>
      <c r="Q27" s="140" t="s">
        <v>383</v>
      </c>
      <c r="R27" s="140" t="s">
        <v>384</v>
      </c>
      <c r="S27" s="140" t="s">
        <v>384</v>
      </c>
      <c r="T27" s="140" t="s">
        <v>384</v>
      </c>
      <c r="U27" s="140" t="s">
        <v>384</v>
      </c>
      <c r="V27" s="76" t="s">
        <v>482</v>
      </c>
      <c r="W27" s="75">
        <v>1979</v>
      </c>
      <c r="X27" s="76">
        <v>2021</v>
      </c>
      <c r="Y27" s="76">
        <f t="shared" si="0"/>
        <v>42</v>
      </c>
      <c r="Z27" s="76">
        <f t="shared" si="1"/>
        <v>1</v>
      </c>
      <c r="AA27" s="76">
        <v>125</v>
      </c>
      <c r="AB27" s="76">
        <v>8839</v>
      </c>
      <c r="AC27" s="75">
        <v>24813120</v>
      </c>
      <c r="AD27" s="76" t="s">
        <v>556</v>
      </c>
      <c r="AE27" s="76" t="s">
        <v>384</v>
      </c>
      <c r="AF27" s="76" t="s">
        <v>564</v>
      </c>
      <c r="AG27" s="76" t="s">
        <v>384</v>
      </c>
      <c r="AH27" s="76" t="s">
        <v>384</v>
      </c>
      <c r="AI27" s="76" t="s">
        <v>565</v>
      </c>
      <c r="AJ27" s="76" t="s">
        <v>384</v>
      </c>
      <c r="AK27" s="76" t="s">
        <v>392</v>
      </c>
      <c r="AL27" s="76" t="s">
        <v>392</v>
      </c>
      <c r="AM27" s="76"/>
      <c r="AN27" s="76" t="s">
        <v>1338</v>
      </c>
      <c r="AO27" s="76" t="s">
        <v>1198</v>
      </c>
      <c r="AP27" s="120" t="s">
        <v>383</v>
      </c>
      <c r="AQ27" s="120" t="s">
        <v>384</v>
      </c>
      <c r="AR27" s="120" t="s">
        <v>384</v>
      </c>
      <c r="AS27" s="120" t="s">
        <v>383</v>
      </c>
      <c r="AT27" s="120" t="s">
        <v>383</v>
      </c>
      <c r="AU27" s="120" t="s">
        <v>384</v>
      </c>
      <c r="AV27" s="120" t="s">
        <v>384</v>
      </c>
      <c r="AW27" s="76" t="s">
        <v>1119</v>
      </c>
      <c r="AX27" s="121" t="s">
        <v>384</v>
      </c>
      <c r="AY27" s="121" t="s">
        <v>384</v>
      </c>
      <c r="AZ27" s="121" t="s">
        <v>384</v>
      </c>
      <c r="BA27" s="121" t="s">
        <v>383</v>
      </c>
      <c r="BB27" s="121" t="s">
        <v>383</v>
      </c>
      <c r="BC27" s="121" t="s">
        <v>384</v>
      </c>
      <c r="BD27" s="121" t="s">
        <v>383</v>
      </c>
      <c r="BE27" s="76" t="s">
        <v>383</v>
      </c>
      <c r="BF27" s="76" t="s">
        <v>384</v>
      </c>
      <c r="BG27" s="76" t="s">
        <v>385</v>
      </c>
      <c r="BH27" s="76" t="s">
        <v>566</v>
      </c>
      <c r="BI27" s="76">
        <v>100</v>
      </c>
      <c r="BJ27" s="76" t="s">
        <v>384</v>
      </c>
      <c r="BK27" s="140" t="s">
        <v>1612</v>
      </c>
      <c r="BL27" s="76" t="s">
        <v>1339</v>
      </c>
      <c r="BM27" s="76" t="s">
        <v>392</v>
      </c>
      <c r="BN27" s="76" t="s">
        <v>384</v>
      </c>
      <c r="BO27" s="76" t="s">
        <v>479</v>
      </c>
      <c r="BP27" s="76" t="s">
        <v>1103</v>
      </c>
      <c r="BQ27" s="76" t="s">
        <v>1340</v>
      </c>
      <c r="BR27" s="76" t="s">
        <v>614</v>
      </c>
      <c r="BS27" s="76" t="s">
        <v>570</v>
      </c>
      <c r="BT27" s="76" t="s">
        <v>571</v>
      </c>
      <c r="BU27" s="120" t="s">
        <v>384</v>
      </c>
      <c r="BV27" s="120" t="s">
        <v>383</v>
      </c>
      <c r="BW27" s="120" t="s">
        <v>383</v>
      </c>
      <c r="BX27" s="120" t="s">
        <v>383</v>
      </c>
      <c r="BY27" s="120" t="s">
        <v>383</v>
      </c>
      <c r="BZ27" s="120" t="s">
        <v>383</v>
      </c>
      <c r="CA27" s="120" t="s">
        <v>383</v>
      </c>
      <c r="CB27" s="76" t="s">
        <v>383</v>
      </c>
      <c r="CC27" s="76" t="s">
        <v>384</v>
      </c>
      <c r="CD27" s="76" t="s">
        <v>1341</v>
      </c>
      <c r="CE27" s="75" t="s">
        <v>383</v>
      </c>
      <c r="CF27" s="75" t="s">
        <v>1342</v>
      </c>
      <c r="CG27" s="121" t="s">
        <v>383</v>
      </c>
      <c r="CH27" s="121" t="s">
        <v>383</v>
      </c>
      <c r="CI27" s="121" t="s">
        <v>383</v>
      </c>
      <c r="CJ27" s="121" t="s">
        <v>383</v>
      </c>
      <c r="CK27" s="121" t="s">
        <v>383</v>
      </c>
      <c r="CL27" s="76" t="s">
        <v>384</v>
      </c>
      <c r="CM27" s="76" t="s">
        <v>562</v>
      </c>
      <c r="CN27" s="120" t="s">
        <v>384</v>
      </c>
      <c r="CO27" s="120" t="s">
        <v>384</v>
      </c>
      <c r="CP27" s="120" t="s">
        <v>383</v>
      </c>
      <c r="CQ27" s="120" t="s">
        <v>383</v>
      </c>
      <c r="CR27" s="76" t="s">
        <v>384</v>
      </c>
      <c r="CS27" s="76" t="s">
        <v>440</v>
      </c>
      <c r="CT27" s="120" t="s">
        <v>384</v>
      </c>
      <c r="CU27" s="120" t="s">
        <v>383</v>
      </c>
      <c r="CV27" s="120" t="s">
        <v>383</v>
      </c>
      <c r="CW27" s="76" t="s">
        <v>384</v>
      </c>
      <c r="CX27" s="76" t="s">
        <v>383</v>
      </c>
      <c r="CY27" s="76" t="s">
        <v>383</v>
      </c>
      <c r="CZ27" s="76" t="s">
        <v>569</v>
      </c>
      <c r="DA27" s="76" t="s">
        <v>384</v>
      </c>
      <c r="DB27" s="75" t="s">
        <v>383</v>
      </c>
      <c r="DC27" s="76" t="s">
        <v>383</v>
      </c>
      <c r="DD27" s="76" t="s">
        <v>384</v>
      </c>
      <c r="DE27" s="76" t="s">
        <v>568</v>
      </c>
      <c r="DF27" s="76" t="s">
        <v>384</v>
      </c>
      <c r="DG27" s="76" t="s">
        <v>384</v>
      </c>
      <c r="DH27" s="76" t="s">
        <v>384</v>
      </c>
      <c r="DI27" s="76" t="s">
        <v>567</v>
      </c>
      <c r="DJ27" s="76" t="s">
        <v>384</v>
      </c>
      <c r="DK27" s="76" t="s">
        <v>384</v>
      </c>
      <c r="DL27" s="76" t="s">
        <v>383</v>
      </c>
      <c r="DM27" s="76" t="s">
        <v>384</v>
      </c>
      <c r="DN27" s="75" t="s">
        <v>596</v>
      </c>
      <c r="DO27" s="75" t="s">
        <v>597</v>
      </c>
      <c r="DP27" s="76" t="s">
        <v>383</v>
      </c>
      <c r="DQ27" s="76" t="s">
        <v>383</v>
      </c>
      <c r="DR27" s="76" t="s">
        <v>384</v>
      </c>
      <c r="DS27" s="76" t="s">
        <v>384</v>
      </c>
      <c r="DT27" s="76" t="s">
        <v>384</v>
      </c>
      <c r="DU27" s="76" t="s">
        <v>384</v>
      </c>
      <c r="DV27" s="76" t="s">
        <v>595</v>
      </c>
      <c r="DW27" s="111" t="s">
        <v>1056</v>
      </c>
      <c r="DX27" s="76"/>
    </row>
    <row r="28" spans="2:128" ht="22.5" customHeight="1">
      <c r="B28" s="110" t="s">
        <v>350</v>
      </c>
      <c r="C28" s="111" t="s">
        <v>196</v>
      </c>
      <c r="D28" s="111" t="s">
        <v>286</v>
      </c>
      <c r="E28" s="111">
        <v>2022</v>
      </c>
      <c r="F28" s="111" t="s">
        <v>381</v>
      </c>
      <c r="G28" s="111" t="s">
        <v>239</v>
      </c>
      <c r="H28" s="127">
        <v>9.6</v>
      </c>
      <c r="I28" s="111" t="s">
        <v>720</v>
      </c>
      <c r="J28" s="128" t="s">
        <v>522</v>
      </c>
      <c r="K28" s="111">
        <v>41</v>
      </c>
      <c r="L28" s="111" t="s">
        <v>749</v>
      </c>
      <c r="M28" s="113" t="s">
        <v>1343</v>
      </c>
      <c r="N28" s="141" t="s">
        <v>1581</v>
      </c>
      <c r="O28" s="140" t="s">
        <v>383</v>
      </c>
      <c r="P28" s="140" t="s">
        <v>384</v>
      </c>
      <c r="Q28" s="140" t="s">
        <v>383</v>
      </c>
      <c r="R28" s="140" t="s">
        <v>384</v>
      </c>
      <c r="S28" s="140" t="s">
        <v>384</v>
      </c>
      <c r="T28" s="140" t="s">
        <v>383</v>
      </c>
      <c r="U28" s="140" t="s">
        <v>383</v>
      </c>
      <c r="V28" s="111" t="s">
        <v>750</v>
      </c>
      <c r="W28" s="111">
        <v>2001</v>
      </c>
      <c r="X28" s="111">
        <v>2020</v>
      </c>
      <c r="Y28" s="111">
        <f t="shared" si="0"/>
        <v>19</v>
      </c>
      <c r="Z28" s="111">
        <f t="shared" si="1"/>
        <v>2</v>
      </c>
      <c r="AA28" s="111">
        <v>23</v>
      </c>
      <c r="AB28" s="111">
        <v>1177</v>
      </c>
      <c r="AC28" s="111">
        <v>2272620</v>
      </c>
      <c r="AD28" s="111" t="s">
        <v>1004</v>
      </c>
      <c r="AE28" s="111" t="s">
        <v>383</v>
      </c>
      <c r="AF28" s="111" t="s">
        <v>383</v>
      </c>
      <c r="AG28" s="111" t="s">
        <v>383</v>
      </c>
      <c r="AH28" s="111" t="s">
        <v>384</v>
      </c>
      <c r="AI28" s="111" t="s">
        <v>751</v>
      </c>
      <c r="AJ28" s="111" t="s">
        <v>383</v>
      </c>
      <c r="AK28" s="111" t="s">
        <v>392</v>
      </c>
      <c r="AL28" s="111" t="s">
        <v>392</v>
      </c>
      <c r="AM28" s="111"/>
      <c r="AN28" s="111" t="s">
        <v>1181</v>
      </c>
      <c r="AO28" s="111" t="s">
        <v>1197</v>
      </c>
      <c r="AP28" s="121" t="s">
        <v>384</v>
      </c>
      <c r="AQ28" s="121" t="s">
        <v>383</v>
      </c>
      <c r="AR28" s="121" t="s">
        <v>383</v>
      </c>
      <c r="AS28" s="121" t="s">
        <v>383</v>
      </c>
      <c r="AT28" s="121" t="s">
        <v>384</v>
      </c>
      <c r="AU28" s="121" t="s">
        <v>383</v>
      </c>
      <c r="AV28" s="121" t="s">
        <v>383</v>
      </c>
      <c r="AW28" s="111" t="s">
        <v>1120</v>
      </c>
      <c r="AX28" s="121" t="s">
        <v>384</v>
      </c>
      <c r="AY28" s="121" t="s">
        <v>384</v>
      </c>
      <c r="AZ28" s="121" t="s">
        <v>383</v>
      </c>
      <c r="BA28" s="121" t="s">
        <v>383</v>
      </c>
      <c r="BB28" s="121" t="s">
        <v>383</v>
      </c>
      <c r="BC28" s="121" t="s">
        <v>383</v>
      </c>
      <c r="BD28" s="121" t="s">
        <v>383</v>
      </c>
      <c r="BE28" s="111" t="s">
        <v>383</v>
      </c>
      <c r="BF28" s="111" t="s">
        <v>384</v>
      </c>
      <c r="BG28" s="111" t="s">
        <v>752</v>
      </c>
      <c r="BH28" s="111" t="s">
        <v>765</v>
      </c>
      <c r="BI28" s="111">
        <v>100</v>
      </c>
      <c r="BJ28" s="111" t="s">
        <v>384</v>
      </c>
      <c r="BK28" s="140" t="s">
        <v>1613</v>
      </c>
      <c r="BL28" s="111" t="s">
        <v>663</v>
      </c>
      <c r="BM28" s="111" t="s">
        <v>1344</v>
      </c>
      <c r="BN28" s="111" t="s">
        <v>383</v>
      </c>
      <c r="BO28" s="111" t="s">
        <v>392</v>
      </c>
      <c r="BP28" s="111" t="s">
        <v>392</v>
      </c>
      <c r="BQ28" s="111" t="s">
        <v>392</v>
      </c>
      <c r="BR28" s="111" t="s">
        <v>392</v>
      </c>
      <c r="BS28" s="111" t="s">
        <v>1099</v>
      </c>
      <c r="BT28" s="111" t="s">
        <v>438</v>
      </c>
      <c r="BU28" s="121" t="s">
        <v>384</v>
      </c>
      <c r="BV28" s="121" t="s">
        <v>383</v>
      </c>
      <c r="BW28" s="121" t="s">
        <v>383</v>
      </c>
      <c r="BX28" s="121" t="s">
        <v>383</v>
      </c>
      <c r="BY28" s="121" t="s">
        <v>383</v>
      </c>
      <c r="BZ28" s="121" t="s">
        <v>383</v>
      </c>
      <c r="CA28" s="121" t="s">
        <v>383</v>
      </c>
      <c r="CB28" s="111" t="s">
        <v>383</v>
      </c>
      <c r="CC28" s="111" t="s">
        <v>383</v>
      </c>
      <c r="CD28" s="111" t="s">
        <v>383</v>
      </c>
      <c r="CE28" s="111" t="s">
        <v>384</v>
      </c>
      <c r="CF28" s="111" t="s">
        <v>755</v>
      </c>
      <c r="CG28" s="121" t="s">
        <v>384</v>
      </c>
      <c r="CH28" s="121" t="s">
        <v>383</v>
      </c>
      <c r="CI28" s="121" t="s">
        <v>384</v>
      </c>
      <c r="CJ28" s="121" t="s">
        <v>383</v>
      </c>
      <c r="CK28" s="121" t="s">
        <v>383</v>
      </c>
      <c r="CL28" s="111" t="s">
        <v>384</v>
      </c>
      <c r="CM28" s="111" t="s">
        <v>754</v>
      </c>
      <c r="CN28" s="121" t="s">
        <v>384</v>
      </c>
      <c r="CO28" s="121" t="s">
        <v>384</v>
      </c>
      <c r="CP28" s="121" t="s">
        <v>383</v>
      </c>
      <c r="CQ28" s="121" t="s">
        <v>383</v>
      </c>
      <c r="CR28" s="111" t="s">
        <v>384</v>
      </c>
      <c r="CS28" s="111" t="s">
        <v>1054</v>
      </c>
      <c r="CT28" s="121" t="s">
        <v>384</v>
      </c>
      <c r="CU28" s="121" t="s">
        <v>383</v>
      </c>
      <c r="CV28" s="121" t="s">
        <v>383</v>
      </c>
      <c r="CW28" s="111" t="s">
        <v>383</v>
      </c>
      <c r="CX28" s="111" t="s">
        <v>383</v>
      </c>
      <c r="CY28" s="111" t="s">
        <v>383</v>
      </c>
      <c r="CZ28" s="111" t="s">
        <v>753</v>
      </c>
      <c r="DA28" s="111" t="s">
        <v>384</v>
      </c>
      <c r="DB28" s="111" t="s">
        <v>383</v>
      </c>
      <c r="DC28" s="111" t="s">
        <v>383</v>
      </c>
      <c r="DD28" s="111" t="s">
        <v>383</v>
      </c>
      <c r="DE28" s="111" t="s">
        <v>384</v>
      </c>
      <c r="DF28" s="111" t="s">
        <v>384</v>
      </c>
      <c r="DG28" s="111" t="s">
        <v>384</v>
      </c>
      <c r="DH28" s="111" t="s">
        <v>383</v>
      </c>
      <c r="DI28" s="111"/>
      <c r="DJ28" s="111" t="s">
        <v>384</v>
      </c>
      <c r="DK28" s="111" t="s">
        <v>383</v>
      </c>
      <c r="DL28" s="111" t="s">
        <v>383</v>
      </c>
      <c r="DM28" s="111" t="s">
        <v>384</v>
      </c>
      <c r="DN28" s="113" t="s">
        <v>1345</v>
      </c>
      <c r="DO28" s="113" t="s">
        <v>1346</v>
      </c>
      <c r="DP28" s="111" t="s">
        <v>383</v>
      </c>
      <c r="DQ28" s="111" t="s">
        <v>383</v>
      </c>
      <c r="DR28" s="111" t="s">
        <v>383</v>
      </c>
      <c r="DS28" s="111" t="s">
        <v>383</v>
      </c>
      <c r="DT28" s="116" t="s">
        <v>383</v>
      </c>
      <c r="DU28" s="111" t="s">
        <v>383</v>
      </c>
      <c r="DV28" s="111"/>
      <c r="DW28" s="111" t="s">
        <v>1347</v>
      </c>
      <c r="DX28" s="111"/>
    </row>
    <row r="29" spans="2:128" ht="15" customHeight="1">
      <c r="B29" s="72" t="s">
        <v>375</v>
      </c>
      <c r="C29" s="76" t="s">
        <v>220</v>
      </c>
      <c r="D29" s="72" t="s">
        <v>293</v>
      </c>
      <c r="E29" s="76">
        <v>2013</v>
      </c>
      <c r="F29" s="76" t="s">
        <v>381</v>
      </c>
      <c r="G29" s="115" t="s">
        <v>228</v>
      </c>
      <c r="H29" s="127" t="s">
        <v>1228</v>
      </c>
      <c r="I29" s="109" t="s">
        <v>946</v>
      </c>
      <c r="J29" s="127" t="s">
        <v>1231</v>
      </c>
      <c r="K29" s="76">
        <v>31</v>
      </c>
      <c r="L29" s="76" t="s">
        <v>851</v>
      </c>
      <c r="M29" s="92" t="s">
        <v>1602</v>
      </c>
      <c r="N29" s="141" t="s">
        <v>1603</v>
      </c>
      <c r="O29" s="115" t="s">
        <v>1604</v>
      </c>
      <c r="P29" s="140" t="s">
        <v>384</v>
      </c>
      <c r="Q29" s="140" t="s">
        <v>383</v>
      </c>
      <c r="R29" s="140" t="s">
        <v>384</v>
      </c>
      <c r="S29" s="140" t="s">
        <v>383</v>
      </c>
      <c r="T29" s="140" t="s">
        <v>383</v>
      </c>
      <c r="U29" s="140" t="s">
        <v>384</v>
      </c>
      <c r="V29" s="76" t="s">
        <v>588</v>
      </c>
      <c r="W29" s="76">
        <v>1984</v>
      </c>
      <c r="X29" s="76">
        <v>2006</v>
      </c>
      <c r="Y29" s="76">
        <f t="shared" si="0"/>
        <v>22</v>
      </c>
      <c r="Z29" s="76">
        <f t="shared" si="1"/>
        <v>7</v>
      </c>
      <c r="AA29" s="76">
        <v>85</v>
      </c>
      <c r="AB29" s="76"/>
      <c r="AC29" s="76"/>
      <c r="AD29" s="76" t="s">
        <v>1003</v>
      </c>
      <c r="AE29" s="76" t="s">
        <v>383</v>
      </c>
      <c r="AF29" s="76" t="s">
        <v>383</v>
      </c>
      <c r="AG29" s="76" t="s">
        <v>384</v>
      </c>
      <c r="AH29" s="76" t="s">
        <v>384</v>
      </c>
      <c r="AI29" s="108" t="s">
        <v>852</v>
      </c>
      <c r="AJ29" s="76" t="s">
        <v>383</v>
      </c>
      <c r="AK29" s="76" t="s">
        <v>392</v>
      </c>
      <c r="AL29" s="76" t="s">
        <v>392</v>
      </c>
      <c r="AM29" s="76"/>
      <c r="AN29" s="76" t="s">
        <v>392</v>
      </c>
      <c r="AO29" s="76" t="s">
        <v>1196</v>
      </c>
      <c r="AP29" s="120" t="s">
        <v>384</v>
      </c>
      <c r="AQ29" s="120" t="s">
        <v>383</v>
      </c>
      <c r="AR29" s="120" t="s">
        <v>384</v>
      </c>
      <c r="AS29" s="120" t="s">
        <v>383</v>
      </c>
      <c r="AT29" s="120" t="s">
        <v>383</v>
      </c>
      <c r="AU29" s="120" t="s">
        <v>383</v>
      </c>
      <c r="AV29" s="120" t="s">
        <v>384</v>
      </c>
      <c r="AW29" s="76" t="s">
        <v>853</v>
      </c>
      <c r="AX29" s="121" t="s">
        <v>383</v>
      </c>
      <c r="AY29" s="121" t="s">
        <v>383</v>
      </c>
      <c r="AZ29" s="121" t="s">
        <v>383</v>
      </c>
      <c r="BA29" s="121" t="s">
        <v>383</v>
      </c>
      <c r="BB29" s="121" t="s">
        <v>383</v>
      </c>
      <c r="BC29" s="121" t="s">
        <v>383</v>
      </c>
      <c r="BD29" s="121" t="s">
        <v>384</v>
      </c>
      <c r="BE29" s="76" t="s">
        <v>383</v>
      </c>
      <c r="BF29" s="76" t="s">
        <v>383</v>
      </c>
      <c r="BG29" s="76" t="s">
        <v>392</v>
      </c>
      <c r="BH29" s="76" t="s">
        <v>392</v>
      </c>
      <c r="BI29" s="76"/>
      <c r="BJ29" s="76" t="s">
        <v>384</v>
      </c>
      <c r="BK29" s="140" t="s">
        <v>392</v>
      </c>
      <c r="BL29" s="76" t="s">
        <v>663</v>
      </c>
      <c r="BM29" s="76" t="s">
        <v>1348</v>
      </c>
      <c r="BN29" s="76" t="s">
        <v>383</v>
      </c>
      <c r="BO29" s="76" t="s">
        <v>392</v>
      </c>
      <c r="BP29" s="76" t="s">
        <v>392</v>
      </c>
      <c r="BQ29" s="76" t="s">
        <v>392</v>
      </c>
      <c r="BR29" s="76" t="s">
        <v>392</v>
      </c>
      <c r="BS29" s="75" t="s">
        <v>1349</v>
      </c>
      <c r="BT29" s="76" t="s">
        <v>392</v>
      </c>
      <c r="BU29" s="120" t="s">
        <v>383</v>
      </c>
      <c r="BV29" s="120" t="s">
        <v>383</v>
      </c>
      <c r="BW29" s="120" t="s">
        <v>383</v>
      </c>
      <c r="BX29" s="120" t="s">
        <v>383</v>
      </c>
      <c r="BY29" s="120" t="s">
        <v>383</v>
      </c>
      <c r="BZ29" s="120" t="s">
        <v>383</v>
      </c>
      <c r="CA29" s="120" t="s">
        <v>383</v>
      </c>
      <c r="CB29" s="76" t="s">
        <v>383</v>
      </c>
      <c r="CC29" s="76" t="s">
        <v>383</v>
      </c>
      <c r="CD29" s="76" t="s">
        <v>383</v>
      </c>
      <c r="CE29" s="76" t="s">
        <v>383</v>
      </c>
      <c r="CF29" s="76" t="s">
        <v>383</v>
      </c>
      <c r="CG29" s="121" t="s">
        <v>383</v>
      </c>
      <c r="CH29" s="121" t="s">
        <v>383</v>
      </c>
      <c r="CI29" s="121" t="s">
        <v>383</v>
      </c>
      <c r="CJ29" s="121" t="s">
        <v>383</v>
      </c>
      <c r="CK29" s="121" t="s">
        <v>383</v>
      </c>
      <c r="CL29" s="76" t="s">
        <v>383</v>
      </c>
      <c r="CM29" s="76" t="s">
        <v>383</v>
      </c>
      <c r="CN29" s="120" t="s">
        <v>383</v>
      </c>
      <c r="CO29" s="120" t="s">
        <v>383</v>
      </c>
      <c r="CP29" s="120" t="s">
        <v>383</v>
      </c>
      <c r="CQ29" s="120" t="s">
        <v>383</v>
      </c>
      <c r="CR29" s="76" t="s">
        <v>384</v>
      </c>
      <c r="CS29" s="76" t="s">
        <v>440</v>
      </c>
      <c r="CT29" s="120" t="s">
        <v>384</v>
      </c>
      <c r="CU29" s="120" t="s">
        <v>383</v>
      </c>
      <c r="CV29" s="120" t="s">
        <v>383</v>
      </c>
      <c r="CW29" s="76" t="s">
        <v>384</v>
      </c>
      <c r="CX29" s="76" t="s">
        <v>383</v>
      </c>
      <c r="CY29" s="76" t="s">
        <v>383</v>
      </c>
      <c r="CZ29" s="76" t="s">
        <v>854</v>
      </c>
      <c r="DA29" s="76" t="s">
        <v>383</v>
      </c>
      <c r="DB29" s="76" t="s">
        <v>383</v>
      </c>
      <c r="DC29" s="76" t="s">
        <v>383</v>
      </c>
      <c r="DD29" s="76" t="s">
        <v>384</v>
      </c>
      <c r="DE29" s="76" t="s">
        <v>384</v>
      </c>
      <c r="DF29" s="76" t="s">
        <v>384</v>
      </c>
      <c r="DG29" s="76" t="s">
        <v>383</v>
      </c>
      <c r="DH29" s="76" t="s">
        <v>383</v>
      </c>
      <c r="DI29" s="76" t="s">
        <v>1065</v>
      </c>
      <c r="DJ29" s="76" t="s">
        <v>383</v>
      </c>
      <c r="DK29" s="76" t="s">
        <v>383</v>
      </c>
      <c r="DL29" s="76" t="s">
        <v>383</v>
      </c>
      <c r="DM29" s="76" t="s">
        <v>383</v>
      </c>
      <c r="DN29" s="76" t="s">
        <v>1350</v>
      </c>
      <c r="DO29" s="76" t="s">
        <v>1351</v>
      </c>
      <c r="DP29" s="76" t="s">
        <v>383</v>
      </c>
      <c r="DQ29" s="76" t="s">
        <v>383</v>
      </c>
      <c r="DR29" s="76" t="s">
        <v>383</v>
      </c>
      <c r="DS29" s="76" t="s">
        <v>383</v>
      </c>
      <c r="DT29" s="76" t="s">
        <v>383</v>
      </c>
      <c r="DU29" s="76" t="s">
        <v>383</v>
      </c>
      <c r="DV29" s="76"/>
      <c r="DW29" s="111"/>
      <c r="DX29" s="76"/>
    </row>
    <row r="30" spans="2:128" ht="90">
      <c r="B30" s="72" t="s">
        <v>326</v>
      </c>
      <c r="C30" s="76" t="s">
        <v>172</v>
      </c>
      <c r="D30" s="76" t="s">
        <v>278</v>
      </c>
      <c r="E30" s="76">
        <v>2018</v>
      </c>
      <c r="F30" s="76" t="s">
        <v>381</v>
      </c>
      <c r="G30" s="76" t="s">
        <v>237</v>
      </c>
      <c r="H30" s="127">
        <v>3.1</v>
      </c>
      <c r="I30" s="76" t="s">
        <v>787</v>
      </c>
      <c r="J30" s="127" t="s">
        <v>1230</v>
      </c>
      <c r="K30" s="76">
        <v>57</v>
      </c>
      <c r="L30" s="76" t="s">
        <v>794</v>
      </c>
      <c r="M30" s="92" t="s">
        <v>1360</v>
      </c>
      <c r="N30" s="141" t="s">
        <v>1572</v>
      </c>
      <c r="O30" s="140" t="s">
        <v>383</v>
      </c>
      <c r="P30" s="140" t="s">
        <v>383</v>
      </c>
      <c r="Q30" s="140" t="s">
        <v>383</v>
      </c>
      <c r="R30" s="140" t="s">
        <v>384</v>
      </c>
      <c r="S30" s="140" t="s">
        <v>383</v>
      </c>
      <c r="T30" s="140" t="s">
        <v>383</v>
      </c>
      <c r="U30" s="140" t="s">
        <v>383</v>
      </c>
      <c r="V30" s="76" t="s">
        <v>588</v>
      </c>
      <c r="W30" s="76">
        <v>1996</v>
      </c>
      <c r="X30" s="76">
        <v>2015</v>
      </c>
      <c r="Y30" s="76">
        <f t="shared" si="0"/>
        <v>19</v>
      </c>
      <c r="Z30" s="76">
        <f t="shared" si="1"/>
        <v>3</v>
      </c>
      <c r="AA30" s="76">
        <v>12</v>
      </c>
      <c r="AB30" s="76">
        <v>474</v>
      </c>
      <c r="AC30" s="76">
        <v>327617</v>
      </c>
      <c r="AD30" s="76" t="s">
        <v>699</v>
      </c>
      <c r="AE30" s="76" t="s">
        <v>383</v>
      </c>
      <c r="AF30" s="76" t="s">
        <v>383</v>
      </c>
      <c r="AG30" s="76" t="s">
        <v>384</v>
      </c>
      <c r="AH30" s="76" t="s">
        <v>384</v>
      </c>
      <c r="AI30" s="76" t="s">
        <v>751</v>
      </c>
      <c r="AJ30" s="76" t="s">
        <v>384</v>
      </c>
      <c r="AK30" s="76" t="s">
        <v>392</v>
      </c>
      <c r="AL30" s="76" t="s">
        <v>392</v>
      </c>
      <c r="AM30" s="76">
        <v>100</v>
      </c>
      <c r="AN30" s="76" t="s">
        <v>1361</v>
      </c>
      <c r="AO30" s="76" t="s">
        <v>1195</v>
      </c>
      <c r="AP30" s="120" t="s">
        <v>383</v>
      </c>
      <c r="AQ30" s="120" t="s">
        <v>383</v>
      </c>
      <c r="AR30" s="120" t="s">
        <v>383</v>
      </c>
      <c r="AS30" s="120" t="s">
        <v>383</v>
      </c>
      <c r="AT30" s="120" t="s">
        <v>384</v>
      </c>
      <c r="AU30" s="120" t="s">
        <v>383</v>
      </c>
      <c r="AV30" s="120" t="s">
        <v>383</v>
      </c>
      <c r="AW30" s="76" t="s">
        <v>1122</v>
      </c>
      <c r="AX30" s="121" t="s">
        <v>384</v>
      </c>
      <c r="AY30" s="121" t="s">
        <v>384</v>
      </c>
      <c r="AZ30" s="121" t="s">
        <v>384</v>
      </c>
      <c r="BA30" s="121" t="s">
        <v>383</v>
      </c>
      <c r="BB30" s="121" t="s">
        <v>384</v>
      </c>
      <c r="BC30" s="121" t="s">
        <v>383</v>
      </c>
      <c r="BD30" s="121" t="s">
        <v>383</v>
      </c>
      <c r="BE30" s="76" t="s">
        <v>795</v>
      </c>
      <c r="BF30" s="76" t="s">
        <v>384</v>
      </c>
      <c r="BG30" s="75" t="s">
        <v>478</v>
      </c>
      <c r="BH30" s="75">
        <v>100</v>
      </c>
      <c r="BI30" s="76">
        <v>100</v>
      </c>
      <c r="BJ30" s="76" t="s">
        <v>384</v>
      </c>
      <c r="BK30" s="140" t="s">
        <v>1605</v>
      </c>
      <c r="BL30" s="76" t="s">
        <v>663</v>
      </c>
      <c r="BM30" s="76" t="s">
        <v>1362</v>
      </c>
      <c r="BN30" s="76" t="s">
        <v>383</v>
      </c>
      <c r="BO30" s="76" t="s">
        <v>392</v>
      </c>
      <c r="BP30" s="76" t="s">
        <v>392</v>
      </c>
      <c r="BQ30" s="76" t="s">
        <v>392</v>
      </c>
      <c r="BR30" s="76" t="s">
        <v>392</v>
      </c>
      <c r="BS30" s="76" t="s">
        <v>1098</v>
      </c>
      <c r="BT30" s="76" t="s">
        <v>438</v>
      </c>
      <c r="BU30" s="120" t="s">
        <v>384</v>
      </c>
      <c r="BV30" s="120" t="s">
        <v>383</v>
      </c>
      <c r="BW30" s="120" t="s">
        <v>383</v>
      </c>
      <c r="BX30" s="120" t="s">
        <v>383</v>
      </c>
      <c r="BY30" s="120" t="s">
        <v>383</v>
      </c>
      <c r="BZ30" s="120" t="s">
        <v>383</v>
      </c>
      <c r="CA30" s="120" t="s">
        <v>383</v>
      </c>
      <c r="CB30" s="76" t="s">
        <v>383</v>
      </c>
      <c r="CC30" s="76" t="s">
        <v>384</v>
      </c>
      <c r="CD30" s="76" t="s">
        <v>1041</v>
      </c>
      <c r="CE30" s="76" t="s">
        <v>383</v>
      </c>
      <c r="CF30" s="76" t="s">
        <v>383</v>
      </c>
      <c r="CG30" s="121" t="s">
        <v>383</v>
      </c>
      <c r="CH30" s="121" t="s">
        <v>383</v>
      </c>
      <c r="CI30" s="121" t="s">
        <v>383</v>
      </c>
      <c r="CJ30" s="121" t="s">
        <v>383</v>
      </c>
      <c r="CK30" s="121" t="s">
        <v>383</v>
      </c>
      <c r="CL30" s="76" t="s">
        <v>384</v>
      </c>
      <c r="CM30" s="76" t="s">
        <v>666</v>
      </c>
      <c r="CN30" s="120" t="s">
        <v>384</v>
      </c>
      <c r="CO30" s="120" t="s">
        <v>383</v>
      </c>
      <c r="CP30" s="120" t="s">
        <v>384</v>
      </c>
      <c r="CQ30" s="120" t="s">
        <v>383</v>
      </c>
      <c r="CR30" s="76" t="s">
        <v>384</v>
      </c>
      <c r="CS30" s="76" t="s">
        <v>797</v>
      </c>
      <c r="CT30" s="120" t="s">
        <v>384</v>
      </c>
      <c r="CU30" s="120" t="s">
        <v>383</v>
      </c>
      <c r="CV30" s="120" t="s">
        <v>384</v>
      </c>
      <c r="CW30" s="76" t="s">
        <v>384</v>
      </c>
      <c r="CX30" s="76" t="s">
        <v>383</v>
      </c>
      <c r="CY30" s="76" t="s">
        <v>383</v>
      </c>
      <c r="CZ30" s="76" t="s">
        <v>796</v>
      </c>
      <c r="DA30" s="76" t="s">
        <v>384</v>
      </c>
      <c r="DB30" s="76" t="s">
        <v>383</v>
      </c>
      <c r="DC30" s="76" t="s">
        <v>384</v>
      </c>
      <c r="DD30" s="76" t="s">
        <v>383</v>
      </c>
      <c r="DE30" s="76" t="s">
        <v>384</v>
      </c>
      <c r="DF30" s="76" t="s">
        <v>383</v>
      </c>
      <c r="DG30" s="76" t="s">
        <v>383</v>
      </c>
      <c r="DH30" s="76" t="s">
        <v>383</v>
      </c>
      <c r="DI30" s="76"/>
      <c r="DJ30" s="76" t="s">
        <v>383</v>
      </c>
      <c r="DK30" s="76" t="s">
        <v>384</v>
      </c>
      <c r="DL30" s="76" t="s">
        <v>384</v>
      </c>
      <c r="DM30" s="76" t="s">
        <v>384</v>
      </c>
      <c r="DN30" s="76"/>
      <c r="DO30" s="76" t="s">
        <v>1363</v>
      </c>
      <c r="DP30" s="76" t="s">
        <v>384</v>
      </c>
      <c r="DQ30" s="76" t="s">
        <v>383</v>
      </c>
      <c r="DR30" s="76" t="s">
        <v>383</v>
      </c>
      <c r="DS30" s="76" t="s">
        <v>384</v>
      </c>
      <c r="DT30" s="76" t="s">
        <v>384</v>
      </c>
      <c r="DU30" s="76" t="s">
        <v>384</v>
      </c>
      <c r="DV30" s="76"/>
      <c r="DW30" s="111"/>
      <c r="DX30" s="76" t="s">
        <v>835</v>
      </c>
    </row>
    <row r="31" spans="2:128" ht="15.75" customHeight="1">
      <c r="B31" s="72" t="s">
        <v>354</v>
      </c>
      <c r="C31" s="76" t="s">
        <v>200</v>
      </c>
      <c r="D31" s="76" t="s">
        <v>288</v>
      </c>
      <c r="E31" s="76">
        <v>2022</v>
      </c>
      <c r="F31" s="76" t="s">
        <v>381</v>
      </c>
      <c r="G31" s="76" t="s">
        <v>239</v>
      </c>
      <c r="H31" s="127">
        <v>9.6</v>
      </c>
      <c r="I31" s="76" t="s">
        <v>522</v>
      </c>
      <c r="J31" s="127" t="s">
        <v>522</v>
      </c>
      <c r="K31" s="76">
        <v>53</v>
      </c>
      <c r="L31" s="76" t="s">
        <v>523</v>
      </c>
      <c r="M31" s="92" t="s">
        <v>1364</v>
      </c>
      <c r="N31" s="141" t="s">
        <v>1582</v>
      </c>
      <c r="O31" s="141" t="s">
        <v>384</v>
      </c>
      <c r="P31" s="141" t="s">
        <v>383</v>
      </c>
      <c r="Q31" s="141" t="s">
        <v>383</v>
      </c>
      <c r="R31" s="141" t="s">
        <v>384</v>
      </c>
      <c r="S31" s="141" t="s">
        <v>384</v>
      </c>
      <c r="T31" s="141" t="s">
        <v>383</v>
      </c>
      <c r="U31" s="141" t="s">
        <v>383</v>
      </c>
      <c r="V31" s="76" t="s">
        <v>390</v>
      </c>
      <c r="W31" s="76">
        <v>2002</v>
      </c>
      <c r="X31" s="76">
        <v>2019</v>
      </c>
      <c r="Y31" s="76">
        <f t="shared" si="0"/>
        <v>17</v>
      </c>
      <c r="Z31" s="76">
        <f t="shared" si="1"/>
        <v>3</v>
      </c>
      <c r="AA31" s="76">
        <v>19</v>
      </c>
      <c r="AB31" s="76">
        <v>841</v>
      </c>
      <c r="AC31" s="76">
        <v>3887684</v>
      </c>
      <c r="AD31" s="76" t="s">
        <v>524</v>
      </c>
      <c r="AE31" s="76" t="s">
        <v>383</v>
      </c>
      <c r="AF31" s="76" t="s">
        <v>383</v>
      </c>
      <c r="AG31" s="76" t="s">
        <v>384</v>
      </c>
      <c r="AH31" s="76" t="s">
        <v>384</v>
      </c>
      <c r="AI31" s="76" t="s">
        <v>483</v>
      </c>
      <c r="AJ31" s="76" t="s">
        <v>384</v>
      </c>
      <c r="AK31" s="76" t="s">
        <v>392</v>
      </c>
      <c r="AL31" s="76" t="s">
        <v>392</v>
      </c>
      <c r="AM31" s="76">
        <v>5</v>
      </c>
      <c r="AN31" s="76" t="s">
        <v>1365</v>
      </c>
      <c r="AO31" s="76" t="s">
        <v>455</v>
      </c>
      <c r="AP31" s="120" t="s">
        <v>383</v>
      </c>
      <c r="AQ31" s="120" t="s">
        <v>383</v>
      </c>
      <c r="AR31" s="120" t="s">
        <v>383</v>
      </c>
      <c r="AS31" s="120" t="s">
        <v>384</v>
      </c>
      <c r="AT31" s="120" t="s">
        <v>383</v>
      </c>
      <c r="AU31" s="120" t="s">
        <v>383</v>
      </c>
      <c r="AV31" s="120" t="s">
        <v>383</v>
      </c>
      <c r="AW31" s="76" t="s">
        <v>1123</v>
      </c>
      <c r="AX31" s="121" t="s">
        <v>384</v>
      </c>
      <c r="AY31" s="121" t="s">
        <v>384</v>
      </c>
      <c r="AZ31" s="121" t="s">
        <v>384</v>
      </c>
      <c r="BA31" s="121" t="s">
        <v>383</v>
      </c>
      <c r="BB31" s="121" t="s">
        <v>383</v>
      </c>
      <c r="BC31" s="121" t="s">
        <v>383</v>
      </c>
      <c r="BD31" s="121" t="s">
        <v>383</v>
      </c>
      <c r="BE31" s="76" t="s">
        <v>383</v>
      </c>
      <c r="BF31" s="76" t="s">
        <v>384</v>
      </c>
      <c r="BG31" s="76" t="s">
        <v>525</v>
      </c>
      <c r="BH31" s="76" t="s">
        <v>526</v>
      </c>
      <c r="BI31" s="75">
        <v>10</v>
      </c>
      <c r="BJ31" s="76" t="s">
        <v>384</v>
      </c>
      <c r="BK31" s="140" t="s">
        <v>1606</v>
      </c>
      <c r="BL31" s="76" t="s">
        <v>527</v>
      </c>
      <c r="BM31" s="76" t="s">
        <v>497</v>
      </c>
      <c r="BN31" s="76" t="s">
        <v>384</v>
      </c>
      <c r="BO31" s="76" t="s">
        <v>549</v>
      </c>
      <c r="BP31" s="76" t="s">
        <v>528</v>
      </c>
      <c r="BQ31" s="76" t="s">
        <v>432</v>
      </c>
      <c r="BR31" s="76" t="s">
        <v>386</v>
      </c>
      <c r="BS31" s="76" t="s">
        <v>1097</v>
      </c>
      <c r="BT31" s="76" t="s">
        <v>438</v>
      </c>
      <c r="BU31" s="120" t="s">
        <v>384</v>
      </c>
      <c r="BV31" s="120" t="s">
        <v>383</v>
      </c>
      <c r="BW31" s="120" t="s">
        <v>383</v>
      </c>
      <c r="BX31" s="120" t="s">
        <v>383</v>
      </c>
      <c r="BY31" s="120" t="s">
        <v>383</v>
      </c>
      <c r="BZ31" s="120" t="s">
        <v>383</v>
      </c>
      <c r="CA31" s="120" t="s">
        <v>383</v>
      </c>
      <c r="CB31" s="76" t="s">
        <v>383</v>
      </c>
      <c r="CC31" s="76" t="s">
        <v>384</v>
      </c>
      <c r="CD31" s="76" t="s">
        <v>529</v>
      </c>
      <c r="CE31" s="76" t="s">
        <v>384</v>
      </c>
      <c r="CF31" s="76" t="s">
        <v>530</v>
      </c>
      <c r="CG31" s="121" t="s">
        <v>384</v>
      </c>
      <c r="CH31" s="121" t="s">
        <v>384</v>
      </c>
      <c r="CI31" s="121" t="s">
        <v>383</v>
      </c>
      <c r="CJ31" s="121" t="s">
        <v>383</v>
      </c>
      <c r="CK31" s="121" t="s">
        <v>383</v>
      </c>
      <c r="CL31" s="76" t="s">
        <v>384</v>
      </c>
      <c r="CM31" s="76" t="s">
        <v>531</v>
      </c>
      <c r="CN31" s="120" t="s">
        <v>384</v>
      </c>
      <c r="CO31" s="120" t="s">
        <v>384</v>
      </c>
      <c r="CP31" s="120" t="s">
        <v>384</v>
      </c>
      <c r="CQ31" s="120" t="s">
        <v>383</v>
      </c>
      <c r="CR31" s="76" t="s">
        <v>384</v>
      </c>
      <c r="CS31" s="76" t="s">
        <v>532</v>
      </c>
      <c r="CT31" s="120" t="s">
        <v>383</v>
      </c>
      <c r="CU31" s="120" t="s">
        <v>383</v>
      </c>
      <c r="CV31" s="120" t="s">
        <v>384</v>
      </c>
      <c r="CW31" s="76" t="s">
        <v>384</v>
      </c>
      <c r="CX31" s="76" t="s">
        <v>383</v>
      </c>
      <c r="CY31" s="76" t="s">
        <v>383</v>
      </c>
      <c r="CZ31" s="76" t="s">
        <v>533</v>
      </c>
      <c r="DA31" s="76" t="s">
        <v>384</v>
      </c>
      <c r="DB31" s="76" t="s">
        <v>384</v>
      </c>
      <c r="DC31" s="76" t="s">
        <v>384</v>
      </c>
      <c r="DD31" s="76" t="s">
        <v>383</v>
      </c>
      <c r="DE31" s="76" t="s">
        <v>384</v>
      </c>
      <c r="DF31" s="75" t="s">
        <v>384</v>
      </c>
      <c r="DG31" s="76" t="s">
        <v>384</v>
      </c>
      <c r="DH31" s="76" t="s">
        <v>383</v>
      </c>
      <c r="DI31" s="76"/>
      <c r="DJ31" s="76" t="s">
        <v>383</v>
      </c>
      <c r="DK31" s="76" t="s">
        <v>383</v>
      </c>
      <c r="DL31" s="76" t="s">
        <v>384</v>
      </c>
      <c r="DM31" s="76" t="s">
        <v>383</v>
      </c>
      <c r="DN31" s="76" t="s">
        <v>534</v>
      </c>
      <c r="DO31" s="92" t="s">
        <v>1366</v>
      </c>
      <c r="DP31" s="76" t="s">
        <v>383</v>
      </c>
      <c r="DQ31" s="76" t="s">
        <v>383</v>
      </c>
      <c r="DR31" s="76" t="s">
        <v>384</v>
      </c>
      <c r="DS31" s="76" t="s">
        <v>383</v>
      </c>
      <c r="DT31" s="76" t="s">
        <v>383</v>
      </c>
      <c r="DU31" s="75" t="s">
        <v>434</v>
      </c>
      <c r="DV31" s="76" t="s">
        <v>535</v>
      </c>
      <c r="DW31" s="111" t="s">
        <v>1058</v>
      </c>
      <c r="DX31" s="76"/>
    </row>
    <row r="32" spans="2:128" ht="180">
      <c r="B32" s="72" t="s">
        <v>341</v>
      </c>
      <c r="C32" s="76" t="s">
        <v>187</v>
      </c>
      <c r="D32" s="76" t="s">
        <v>449</v>
      </c>
      <c r="E32" s="76">
        <v>2018</v>
      </c>
      <c r="F32" s="76" t="s">
        <v>381</v>
      </c>
      <c r="G32" s="76" t="s">
        <v>251</v>
      </c>
      <c r="H32" s="127">
        <v>2.9</v>
      </c>
      <c r="I32" s="76" t="s">
        <v>627</v>
      </c>
      <c r="J32" s="127" t="s">
        <v>1230</v>
      </c>
      <c r="K32" s="76">
        <v>230</v>
      </c>
      <c r="L32" s="76" t="s">
        <v>629</v>
      </c>
      <c r="M32" s="92" t="s">
        <v>1367</v>
      </c>
      <c r="N32" s="141" t="s">
        <v>1569</v>
      </c>
      <c r="O32" s="140" t="s">
        <v>383</v>
      </c>
      <c r="P32" s="140" t="s">
        <v>384</v>
      </c>
      <c r="Q32" s="140" t="s">
        <v>383</v>
      </c>
      <c r="R32" s="140" t="s">
        <v>383</v>
      </c>
      <c r="S32" s="140" t="s">
        <v>383</v>
      </c>
      <c r="T32" s="140" t="s">
        <v>383</v>
      </c>
      <c r="U32" s="140" t="s">
        <v>383</v>
      </c>
      <c r="V32" s="76" t="s">
        <v>482</v>
      </c>
      <c r="W32" s="76">
        <v>1996</v>
      </c>
      <c r="X32" s="76">
        <v>2018</v>
      </c>
      <c r="Y32" s="76">
        <f t="shared" ref="Y32:Y59" si="4" xml:space="preserve"> X32 - W32</f>
        <v>22</v>
      </c>
      <c r="Z32" s="76">
        <f t="shared" ref="Z32:Z65" si="5" xml:space="preserve"> E32 - X32</f>
        <v>0</v>
      </c>
      <c r="AA32" s="76">
        <v>26</v>
      </c>
      <c r="AB32" s="76">
        <v>411</v>
      </c>
      <c r="AC32" s="76">
        <v>101439</v>
      </c>
      <c r="AD32" s="76" t="s">
        <v>630</v>
      </c>
      <c r="AE32" s="76" t="s">
        <v>384</v>
      </c>
      <c r="AF32" s="76" t="s">
        <v>564</v>
      </c>
      <c r="AG32" s="76" t="s">
        <v>383</v>
      </c>
      <c r="AH32" s="76" t="s">
        <v>384</v>
      </c>
      <c r="AI32" s="76" t="s">
        <v>631</v>
      </c>
      <c r="AJ32" s="76" t="s">
        <v>384</v>
      </c>
      <c r="AK32" s="76" t="s">
        <v>392</v>
      </c>
      <c r="AL32" s="76" t="s">
        <v>392</v>
      </c>
      <c r="AM32" s="111">
        <v>100</v>
      </c>
      <c r="AN32" s="76" t="s">
        <v>1368</v>
      </c>
      <c r="AO32" s="76" t="s">
        <v>1014</v>
      </c>
      <c r="AP32" s="120" t="s">
        <v>384</v>
      </c>
      <c r="AQ32" s="120" t="s">
        <v>383</v>
      </c>
      <c r="AR32" s="120" t="s">
        <v>383</v>
      </c>
      <c r="AS32" s="120" t="s">
        <v>383</v>
      </c>
      <c r="AT32" s="120" t="s">
        <v>383</v>
      </c>
      <c r="AU32" s="120" t="s">
        <v>383</v>
      </c>
      <c r="AV32" s="120" t="s">
        <v>384</v>
      </c>
      <c r="AW32" s="76" t="s">
        <v>633</v>
      </c>
      <c r="AX32" s="121" t="s">
        <v>383</v>
      </c>
      <c r="AY32" s="121" t="s">
        <v>383</v>
      </c>
      <c r="AZ32" s="121" t="s">
        <v>383</v>
      </c>
      <c r="BA32" s="121" t="s">
        <v>384</v>
      </c>
      <c r="BB32" s="121" t="s">
        <v>383</v>
      </c>
      <c r="BC32" s="121" t="s">
        <v>383</v>
      </c>
      <c r="BD32" s="121" t="s">
        <v>383</v>
      </c>
      <c r="BE32" s="76" t="s">
        <v>383</v>
      </c>
      <c r="BF32" s="76" t="s">
        <v>384</v>
      </c>
      <c r="BG32" s="75" t="s">
        <v>642</v>
      </c>
      <c r="BH32" s="76" t="s">
        <v>641</v>
      </c>
      <c r="BI32" s="76">
        <v>100</v>
      </c>
      <c r="BJ32" s="76" t="s">
        <v>384</v>
      </c>
      <c r="BK32" s="140" t="s">
        <v>1614</v>
      </c>
      <c r="BL32" s="76" t="s">
        <v>1019</v>
      </c>
      <c r="BM32" s="76" t="s">
        <v>392</v>
      </c>
      <c r="BN32" s="76" t="s">
        <v>384</v>
      </c>
      <c r="BO32" s="76" t="s">
        <v>479</v>
      </c>
      <c r="BP32" s="76" t="s">
        <v>634</v>
      </c>
      <c r="BQ32" s="76" t="s">
        <v>1369</v>
      </c>
      <c r="BR32" s="76" t="s">
        <v>1027</v>
      </c>
      <c r="BS32" s="75" t="s">
        <v>1370</v>
      </c>
      <c r="BT32" s="76" t="s">
        <v>438</v>
      </c>
      <c r="BU32" s="120" t="s">
        <v>384</v>
      </c>
      <c r="BV32" s="120" t="s">
        <v>383</v>
      </c>
      <c r="BW32" s="120" t="s">
        <v>383</v>
      </c>
      <c r="BX32" s="120" t="s">
        <v>383</v>
      </c>
      <c r="BY32" s="120" t="s">
        <v>383</v>
      </c>
      <c r="BZ32" s="120" t="s">
        <v>383</v>
      </c>
      <c r="CA32" s="120" t="s">
        <v>383</v>
      </c>
      <c r="CB32" s="75" t="s">
        <v>383</v>
      </c>
      <c r="CC32" s="76" t="s">
        <v>384</v>
      </c>
      <c r="CD32" s="75" t="s">
        <v>1042</v>
      </c>
      <c r="CE32" s="76" t="s">
        <v>384</v>
      </c>
      <c r="CF32" s="76" t="s">
        <v>632</v>
      </c>
      <c r="CG32" s="121" t="s">
        <v>384</v>
      </c>
      <c r="CH32" s="121" t="s">
        <v>384</v>
      </c>
      <c r="CI32" s="121" t="s">
        <v>383</v>
      </c>
      <c r="CJ32" s="121" t="s">
        <v>383</v>
      </c>
      <c r="CK32" s="121" t="s">
        <v>383</v>
      </c>
      <c r="CL32" s="76" t="s">
        <v>384</v>
      </c>
      <c r="CM32" s="76" t="s">
        <v>393</v>
      </c>
      <c r="CN32" s="120" t="s">
        <v>384</v>
      </c>
      <c r="CO32" s="120" t="s">
        <v>384</v>
      </c>
      <c r="CP32" s="120" t="s">
        <v>383</v>
      </c>
      <c r="CQ32" s="120" t="s">
        <v>383</v>
      </c>
      <c r="CR32" s="76" t="s">
        <v>383</v>
      </c>
      <c r="CS32" s="76" t="s">
        <v>383</v>
      </c>
      <c r="CT32" s="120" t="s">
        <v>383</v>
      </c>
      <c r="CU32" s="120" t="s">
        <v>383</v>
      </c>
      <c r="CV32" s="120" t="s">
        <v>383</v>
      </c>
      <c r="CW32" s="76" t="s">
        <v>383</v>
      </c>
      <c r="CX32" s="76" t="s">
        <v>383</v>
      </c>
      <c r="CY32" s="76" t="s">
        <v>383</v>
      </c>
      <c r="CZ32" s="76" t="s">
        <v>643</v>
      </c>
      <c r="DA32" s="76" t="s">
        <v>384</v>
      </c>
      <c r="DB32" s="76" t="s">
        <v>384</v>
      </c>
      <c r="DC32" s="76" t="s">
        <v>384</v>
      </c>
      <c r="DD32" s="76" t="s">
        <v>383</v>
      </c>
      <c r="DE32" s="76" t="s">
        <v>568</v>
      </c>
      <c r="DF32" s="76" t="s">
        <v>384</v>
      </c>
      <c r="DG32" s="76" t="s">
        <v>383</v>
      </c>
      <c r="DH32" s="76" t="s">
        <v>383</v>
      </c>
      <c r="DI32" s="76"/>
      <c r="DJ32" s="76" t="s">
        <v>384</v>
      </c>
      <c r="DK32" s="76" t="s">
        <v>383</v>
      </c>
      <c r="DL32" s="76" t="s">
        <v>383</v>
      </c>
      <c r="DM32" s="76" t="s">
        <v>383</v>
      </c>
      <c r="DN32" s="76" t="s">
        <v>1371</v>
      </c>
      <c r="DO32" s="76" t="s">
        <v>1372</v>
      </c>
      <c r="DP32" s="76" t="s">
        <v>384</v>
      </c>
      <c r="DQ32" s="76" t="s">
        <v>383</v>
      </c>
      <c r="DR32" s="76" t="s">
        <v>384</v>
      </c>
      <c r="DS32" s="76" t="s">
        <v>384</v>
      </c>
      <c r="DT32" s="76" t="s">
        <v>383</v>
      </c>
      <c r="DU32" s="75" t="s">
        <v>383</v>
      </c>
      <c r="DV32" s="76" t="s">
        <v>1373</v>
      </c>
      <c r="DW32" s="111" t="s">
        <v>653</v>
      </c>
      <c r="DX32" s="76"/>
    </row>
    <row r="33" spans="2:128" ht="17.25" customHeight="1">
      <c r="B33" s="72" t="s">
        <v>364</v>
      </c>
      <c r="C33" s="111" t="s">
        <v>210</v>
      </c>
      <c r="D33" s="111" t="s">
        <v>306</v>
      </c>
      <c r="E33" s="111">
        <v>2021</v>
      </c>
      <c r="F33" s="111" t="s">
        <v>381</v>
      </c>
      <c r="G33" s="115" t="s">
        <v>268</v>
      </c>
      <c r="H33" s="127">
        <v>5.4</v>
      </c>
      <c r="I33" s="111" t="s">
        <v>788</v>
      </c>
      <c r="J33" s="127" t="s">
        <v>1231</v>
      </c>
      <c r="K33" s="111">
        <v>42</v>
      </c>
      <c r="L33" s="111" t="s">
        <v>789</v>
      </c>
      <c r="M33" s="113" t="s">
        <v>1374</v>
      </c>
      <c r="N33" s="141" t="s">
        <v>1583</v>
      </c>
      <c r="O33" s="140" t="s">
        <v>383</v>
      </c>
      <c r="P33" s="140" t="s">
        <v>383</v>
      </c>
      <c r="Q33" s="140" t="s">
        <v>383</v>
      </c>
      <c r="R33" s="140" t="s">
        <v>384</v>
      </c>
      <c r="S33" s="140" t="s">
        <v>383</v>
      </c>
      <c r="T33" s="140" t="s">
        <v>384</v>
      </c>
      <c r="U33" s="140" t="s">
        <v>383</v>
      </c>
      <c r="V33" s="111" t="s">
        <v>419</v>
      </c>
      <c r="W33" s="111">
        <v>2004</v>
      </c>
      <c r="X33" s="111">
        <v>2020</v>
      </c>
      <c r="Y33" s="111">
        <f t="shared" si="4"/>
        <v>16</v>
      </c>
      <c r="Z33" s="111">
        <f t="shared" si="5"/>
        <v>1</v>
      </c>
      <c r="AA33" s="111">
        <v>13</v>
      </c>
      <c r="AB33" s="111">
        <v>311</v>
      </c>
      <c r="AC33" s="111"/>
      <c r="AD33" s="111" t="s">
        <v>790</v>
      </c>
      <c r="AE33" s="111" t="s">
        <v>383</v>
      </c>
      <c r="AF33" s="111" t="s">
        <v>383</v>
      </c>
      <c r="AG33" s="111" t="s">
        <v>383</v>
      </c>
      <c r="AH33" s="111" t="s">
        <v>383</v>
      </c>
      <c r="AI33" s="111" t="s">
        <v>392</v>
      </c>
      <c r="AJ33" s="111" t="s">
        <v>392</v>
      </c>
      <c r="AK33" s="111" t="s">
        <v>392</v>
      </c>
      <c r="AL33" s="111" t="s">
        <v>392</v>
      </c>
      <c r="AM33" s="111"/>
      <c r="AN33" s="111" t="s">
        <v>1375</v>
      </c>
      <c r="AO33" s="111" t="s">
        <v>455</v>
      </c>
      <c r="AP33" s="121" t="s">
        <v>383</v>
      </c>
      <c r="AQ33" s="121" t="s">
        <v>383</v>
      </c>
      <c r="AR33" s="121" t="s">
        <v>383</v>
      </c>
      <c r="AS33" s="121" t="s">
        <v>384</v>
      </c>
      <c r="AT33" s="121" t="s">
        <v>383</v>
      </c>
      <c r="AU33" s="121" t="s">
        <v>383</v>
      </c>
      <c r="AV33" s="121" t="s">
        <v>383</v>
      </c>
      <c r="AW33" s="111" t="s">
        <v>540</v>
      </c>
      <c r="AX33" s="121" t="s">
        <v>383</v>
      </c>
      <c r="AY33" s="121" t="s">
        <v>384</v>
      </c>
      <c r="AZ33" s="121" t="s">
        <v>383</v>
      </c>
      <c r="BA33" s="121" t="s">
        <v>383</v>
      </c>
      <c r="BB33" s="121" t="s">
        <v>383</v>
      </c>
      <c r="BC33" s="121" t="s">
        <v>383</v>
      </c>
      <c r="BD33" s="121" t="s">
        <v>383</v>
      </c>
      <c r="BE33" s="111" t="s">
        <v>383</v>
      </c>
      <c r="BF33" s="111" t="s">
        <v>383</v>
      </c>
      <c r="BG33" s="111" t="s">
        <v>392</v>
      </c>
      <c r="BH33" s="111" t="s">
        <v>392</v>
      </c>
      <c r="BI33" s="111"/>
      <c r="BJ33" s="111" t="s">
        <v>383</v>
      </c>
      <c r="BK33" s="140"/>
      <c r="BL33" s="111" t="s">
        <v>392</v>
      </c>
      <c r="BM33" s="111" t="s">
        <v>392</v>
      </c>
      <c r="BN33" s="111" t="s">
        <v>383</v>
      </c>
      <c r="BO33" s="111" t="s">
        <v>392</v>
      </c>
      <c r="BP33" s="111" t="s">
        <v>392</v>
      </c>
      <c r="BQ33" s="111" t="s">
        <v>392</v>
      </c>
      <c r="BR33" s="111" t="s">
        <v>392</v>
      </c>
      <c r="BS33" s="111" t="s">
        <v>1376</v>
      </c>
      <c r="BT33" s="111" t="s">
        <v>793</v>
      </c>
      <c r="BU33" s="121" t="s">
        <v>383</v>
      </c>
      <c r="BV33" s="121" t="s">
        <v>383</v>
      </c>
      <c r="BW33" s="121" t="s">
        <v>383</v>
      </c>
      <c r="BX33" s="121" t="s">
        <v>383</v>
      </c>
      <c r="BY33" s="121" t="s">
        <v>383</v>
      </c>
      <c r="BZ33" s="121" t="s">
        <v>384</v>
      </c>
      <c r="CA33" s="121" t="s">
        <v>383</v>
      </c>
      <c r="CB33" s="111" t="s">
        <v>384</v>
      </c>
      <c r="CC33" s="111" t="s">
        <v>383</v>
      </c>
      <c r="CD33" s="111" t="s">
        <v>383</v>
      </c>
      <c r="CE33" s="111" t="s">
        <v>383</v>
      </c>
      <c r="CF33" s="111" t="s">
        <v>383</v>
      </c>
      <c r="CG33" s="121" t="s">
        <v>383</v>
      </c>
      <c r="CH33" s="121" t="s">
        <v>383</v>
      </c>
      <c r="CI33" s="121" t="s">
        <v>383</v>
      </c>
      <c r="CJ33" s="121" t="s">
        <v>383</v>
      </c>
      <c r="CK33" s="121" t="s">
        <v>383</v>
      </c>
      <c r="CL33" s="111" t="s">
        <v>384</v>
      </c>
      <c r="CM33" s="111" t="s">
        <v>792</v>
      </c>
      <c r="CN33" s="121" t="s">
        <v>383</v>
      </c>
      <c r="CO33" s="121" t="s">
        <v>383</v>
      </c>
      <c r="CP33" s="121" t="s">
        <v>383</v>
      </c>
      <c r="CQ33" s="121" t="s">
        <v>384</v>
      </c>
      <c r="CR33" s="111" t="s">
        <v>383</v>
      </c>
      <c r="CS33" s="111" t="s">
        <v>383</v>
      </c>
      <c r="CT33" s="121" t="s">
        <v>383</v>
      </c>
      <c r="CU33" s="121" t="s">
        <v>383</v>
      </c>
      <c r="CV33" s="121" t="s">
        <v>383</v>
      </c>
      <c r="CW33" s="111" t="s">
        <v>383</v>
      </c>
      <c r="CX33" s="111" t="s">
        <v>383</v>
      </c>
      <c r="CY33" s="111" t="s">
        <v>384</v>
      </c>
      <c r="CZ33" s="111" t="s">
        <v>791</v>
      </c>
      <c r="DA33" s="111" t="s">
        <v>384</v>
      </c>
      <c r="DB33" s="111" t="s">
        <v>383</v>
      </c>
      <c r="DC33" s="111" t="s">
        <v>383</v>
      </c>
      <c r="DD33" s="111" t="s">
        <v>383</v>
      </c>
      <c r="DE33" s="111" t="s">
        <v>383</v>
      </c>
      <c r="DF33" s="111" t="s">
        <v>384</v>
      </c>
      <c r="DG33" s="111" t="s">
        <v>383</v>
      </c>
      <c r="DH33" s="111" t="s">
        <v>383</v>
      </c>
      <c r="DI33" s="111"/>
      <c r="DJ33" s="111" t="s">
        <v>383</v>
      </c>
      <c r="DK33" s="111" t="s">
        <v>383</v>
      </c>
      <c r="DL33" s="111" t="s">
        <v>383</v>
      </c>
      <c r="DM33" s="111" t="s">
        <v>384</v>
      </c>
      <c r="DN33" s="111"/>
      <c r="DO33" s="111" t="s">
        <v>1377</v>
      </c>
      <c r="DP33" s="111" t="s">
        <v>383</v>
      </c>
      <c r="DQ33" s="111" t="s">
        <v>383</v>
      </c>
      <c r="DR33" s="111" t="s">
        <v>384</v>
      </c>
      <c r="DS33" s="111" t="s">
        <v>383</v>
      </c>
      <c r="DT33" s="111" t="s">
        <v>384</v>
      </c>
      <c r="DU33" s="111" t="s">
        <v>384</v>
      </c>
      <c r="DV33" s="111"/>
      <c r="DW33" s="111" t="s">
        <v>994</v>
      </c>
      <c r="DX33" s="111"/>
    </row>
    <row r="34" spans="2:128" ht="180">
      <c r="B34" s="72" t="s">
        <v>331</v>
      </c>
      <c r="C34" s="111" t="s">
        <v>177</v>
      </c>
      <c r="D34" s="111" t="s">
        <v>280</v>
      </c>
      <c r="E34" s="111">
        <v>2013</v>
      </c>
      <c r="F34" s="111" t="s">
        <v>381</v>
      </c>
      <c r="G34" s="111" t="s">
        <v>242</v>
      </c>
      <c r="H34" s="127">
        <v>13.7</v>
      </c>
      <c r="I34" s="76" t="s">
        <v>628</v>
      </c>
      <c r="J34" s="127" t="s">
        <v>1230</v>
      </c>
      <c r="K34" s="76">
        <v>319</v>
      </c>
      <c r="L34" s="76" t="s">
        <v>635</v>
      </c>
      <c r="M34" s="142" t="s">
        <v>1608</v>
      </c>
      <c r="N34" s="141" t="s">
        <v>1590</v>
      </c>
      <c r="O34" s="115" t="s">
        <v>1609</v>
      </c>
      <c r="P34" s="140" t="s">
        <v>384</v>
      </c>
      <c r="Q34" s="140" t="s">
        <v>384</v>
      </c>
      <c r="R34" s="140" t="s">
        <v>383</v>
      </c>
      <c r="S34" s="140" t="s">
        <v>383</v>
      </c>
      <c r="T34" s="140" t="s">
        <v>383</v>
      </c>
      <c r="U34" s="140" t="s">
        <v>383</v>
      </c>
      <c r="V34" s="75" t="s">
        <v>646</v>
      </c>
      <c r="W34" s="76">
        <v>1980</v>
      </c>
      <c r="X34" s="76">
        <v>2012</v>
      </c>
      <c r="Y34" s="76">
        <f t="shared" si="4"/>
        <v>32</v>
      </c>
      <c r="Z34" s="76">
        <f t="shared" si="5"/>
        <v>1</v>
      </c>
      <c r="AA34" s="76">
        <v>29</v>
      </c>
      <c r="AB34" s="76">
        <v>1248</v>
      </c>
      <c r="AC34" s="76"/>
      <c r="AD34" s="76" t="s">
        <v>647</v>
      </c>
      <c r="AE34" s="76" t="s">
        <v>384</v>
      </c>
      <c r="AF34" s="75" t="s">
        <v>573</v>
      </c>
      <c r="AG34" s="75" t="s">
        <v>383</v>
      </c>
      <c r="AH34" s="75" t="s">
        <v>383</v>
      </c>
      <c r="AI34" s="75" t="s">
        <v>392</v>
      </c>
      <c r="AJ34" s="76" t="s">
        <v>384</v>
      </c>
      <c r="AK34" s="76" t="s">
        <v>392</v>
      </c>
      <c r="AL34" s="76" t="s">
        <v>392</v>
      </c>
      <c r="AM34" s="76">
        <v>100</v>
      </c>
      <c r="AN34" s="76" t="s">
        <v>1378</v>
      </c>
      <c r="AO34" s="76" t="s">
        <v>1194</v>
      </c>
      <c r="AP34" s="120" t="s">
        <v>383</v>
      </c>
      <c r="AQ34" s="120" t="s">
        <v>383</v>
      </c>
      <c r="AR34" s="120" t="s">
        <v>383</v>
      </c>
      <c r="AS34" s="120" t="s">
        <v>383</v>
      </c>
      <c r="AT34" s="120" t="s">
        <v>384</v>
      </c>
      <c r="AU34" s="120" t="s">
        <v>383</v>
      </c>
      <c r="AV34" s="120" t="s">
        <v>384</v>
      </c>
      <c r="AW34" s="76" t="s">
        <v>1124</v>
      </c>
      <c r="AX34" s="121" t="s">
        <v>384</v>
      </c>
      <c r="AY34" s="121" t="s">
        <v>383</v>
      </c>
      <c r="AZ34" s="121" t="s">
        <v>384</v>
      </c>
      <c r="BA34" s="121" t="s">
        <v>384</v>
      </c>
      <c r="BB34" s="121" t="s">
        <v>383</v>
      </c>
      <c r="BC34" s="121" t="s">
        <v>383</v>
      </c>
      <c r="BD34" s="121" t="s">
        <v>383</v>
      </c>
      <c r="BE34" s="76" t="s">
        <v>383</v>
      </c>
      <c r="BF34" s="76" t="s">
        <v>384</v>
      </c>
      <c r="BG34" s="76" t="s">
        <v>1379</v>
      </c>
      <c r="BH34" s="75" t="s">
        <v>648</v>
      </c>
      <c r="BI34" s="75">
        <v>100</v>
      </c>
      <c r="BJ34" s="76" t="s">
        <v>384</v>
      </c>
      <c r="BK34" s="140" t="s">
        <v>1607</v>
      </c>
      <c r="BL34" s="76" t="s">
        <v>1019</v>
      </c>
      <c r="BM34" s="76" t="s">
        <v>392</v>
      </c>
      <c r="BN34" s="76" t="s">
        <v>383</v>
      </c>
      <c r="BO34" s="76" t="s">
        <v>392</v>
      </c>
      <c r="BP34" s="76" t="s">
        <v>392</v>
      </c>
      <c r="BQ34" s="76" t="s">
        <v>392</v>
      </c>
      <c r="BR34" s="76" t="s">
        <v>392</v>
      </c>
      <c r="BS34" s="76" t="s">
        <v>638</v>
      </c>
      <c r="BT34" s="76" t="s">
        <v>438</v>
      </c>
      <c r="BU34" s="120" t="s">
        <v>384</v>
      </c>
      <c r="BV34" s="120" t="s">
        <v>383</v>
      </c>
      <c r="BW34" s="120" t="s">
        <v>383</v>
      </c>
      <c r="BX34" s="120" t="s">
        <v>383</v>
      </c>
      <c r="BY34" s="120" t="s">
        <v>383</v>
      </c>
      <c r="BZ34" s="120" t="s">
        <v>383</v>
      </c>
      <c r="CA34" s="120" t="s">
        <v>383</v>
      </c>
      <c r="CB34" s="75" t="s">
        <v>383</v>
      </c>
      <c r="CC34" s="76" t="s">
        <v>384</v>
      </c>
      <c r="CD34" s="76" t="s">
        <v>1043</v>
      </c>
      <c r="CE34" s="76" t="s">
        <v>384</v>
      </c>
      <c r="CF34" s="76" t="s">
        <v>637</v>
      </c>
      <c r="CG34" s="121" t="s">
        <v>383</v>
      </c>
      <c r="CH34" s="121" t="s">
        <v>384</v>
      </c>
      <c r="CI34" s="121" t="s">
        <v>383</v>
      </c>
      <c r="CJ34" s="121" t="s">
        <v>383</v>
      </c>
      <c r="CK34" s="121" t="s">
        <v>383</v>
      </c>
      <c r="CL34" s="76" t="s">
        <v>384</v>
      </c>
      <c r="CM34" s="76" t="s">
        <v>393</v>
      </c>
      <c r="CN34" s="120" t="s">
        <v>384</v>
      </c>
      <c r="CO34" s="120" t="s">
        <v>384</v>
      </c>
      <c r="CP34" s="120" t="s">
        <v>383</v>
      </c>
      <c r="CQ34" s="120" t="s">
        <v>383</v>
      </c>
      <c r="CR34" s="76" t="s">
        <v>384</v>
      </c>
      <c r="CS34" s="76" t="s">
        <v>1052</v>
      </c>
      <c r="CT34" s="120" t="s">
        <v>384</v>
      </c>
      <c r="CU34" s="120" t="s">
        <v>384</v>
      </c>
      <c r="CV34" s="120" t="s">
        <v>383</v>
      </c>
      <c r="CW34" s="76" t="s">
        <v>384</v>
      </c>
      <c r="CX34" s="76" t="s">
        <v>383</v>
      </c>
      <c r="CY34" s="76" t="s">
        <v>383</v>
      </c>
      <c r="CZ34" s="76" t="s">
        <v>636</v>
      </c>
      <c r="DA34" s="76" t="s">
        <v>384</v>
      </c>
      <c r="DB34" s="76" t="s">
        <v>383</v>
      </c>
      <c r="DC34" s="76" t="s">
        <v>383</v>
      </c>
      <c r="DD34" s="76" t="s">
        <v>383</v>
      </c>
      <c r="DE34" s="76" t="s">
        <v>384</v>
      </c>
      <c r="DF34" s="76" t="s">
        <v>383</v>
      </c>
      <c r="DG34" s="76" t="s">
        <v>384</v>
      </c>
      <c r="DH34" s="76" t="s">
        <v>383</v>
      </c>
      <c r="DI34" s="76"/>
      <c r="DJ34" s="76" t="s">
        <v>384</v>
      </c>
      <c r="DK34" s="76" t="s">
        <v>383</v>
      </c>
      <c r="DL34" s="76" t="s">
        <v>383</v>
      </c>
      <c r="DM34" s="76" t="s">
        <v>383</v>
      </c>
      <c r="DN34" s="76"/>
      <c r="DO34" s="76" t="s">
        <v>649</v>
      </c>
      <c r="DP34" s="76" t="s">
        <v>383</v>
      </c>
      <c r="DQ34" s="76" t="s">
        <v>383</v>
      </c>
      <c r="DR34" s="76" t="s">
        <v>383</v>
      </c>
      <c r="DS34" s="76" t="s">
        <v>383</v>
      </c>
      <c r="DT34" s="76" t="s">
        <v>383</v>
      </c>
      <c r="DU34" s="75" t="s">
        <v>384</v>
      </c>
      <c r="DV34" s="76" t="s">
        <v>650</v>
      </c>
      <c r="DW34" s="111"/>
      <c r="DX34" s="76"/>
    </row>
    <row r="35" spans="2:128" ht="150">
      <c r="B35" s="72" t="s">
        <v>339</v>
      </c>
      <c r="C35" s="76" t="s">
        <v>185</v>
      </c>
      <c r="D35" s="76" t="s">
        <v>450</v>
      </c>
      <c r="E35" s="76">
        <v>2022</v>
      </c>
      <c r="F35" s="76" t="s">
        <v>381</v>
      </c>
      <c r="G35" s="76" t="s">
        <v>236</v>
      </c>
      <c r="H35" s="127">
        <v>8.3000000000000007</v>
      </c>
      <c r="I35" s="76" t="s">
        <v>522</v>
      </c>
      <c r="J35" s="127" t="s">
        <v>522</v>
      </c>
      <c r="K35" s="76">
        <v>92</v>
      </c>
      <c r="L35" s="76" t="s">
        <v>537</v>
      </c>
      <c r="M35" s="142" t="s">
        <v>538</v>
      </c>
      <c r="N35" s="141" t="s">
        <v>1587</v>
      </c>
      <c r="O35" s="140" t="s">
        <v>383</v>
      </c>
      <c r="P35" s="140" t="s">
        <v>384</v>
      </c>
      <c r="Q35" s="115" t="s">
        <v>1637</v>
      </c>
      <c r="R35" s="115" t="s">
        <v>1637</v>
      </c>
      <c r="S35" s="140" t="s">
        <v>384</v>
      </c>
      <c r="T35" s="140" t="s">
        <v>383</v>
      </c>
      <c r="U35" s="140" t="s">
        <v>383</v>
      </c>
      <c r="V35" s="76" t="s">
        <v>480</v>
      </c>
      <c r="W35" s="76">
        <v>2005</v>
      </c>
      <c r="X35" s="76">
        <v>2021</v>
      </c>
      <c r="Y35" s="76">
        <f t="shared" si="4"/>
        <v>16</v>
      </c>
      <c r="Z35" s="76">
        <f t="shared" si="5"/>
        <v>1</v>
      </c>
      <c r="AA35" s="76">
        <v>29</v>
      </c>
      <c r="AB35" s="76">
        <v>1189</v>
      </c>
      <c r="AC35" s="76">
        <v>78177</v>
      </c>
      <c r="AD35" s="76" t="s">
        <v>539</v>
      </c>
      <c r="AE35" s="76" t="s">
        <v>384</v>
      </c>
      <c r="AF35" s="76" t="s">
        <v>573</v>
      </c>
      <c r="AG35" s="76" t="s">
        <v>383</v>
      </c>
      <c r="AH35" s="76" t="s">
        <v>384</v>
      </c>
      <c r="AI35" s="76" t="s">
        <v>574</v>
      </c>
      <c r="AJ35" s="76" t="s">
        <v>384</v>
      </c>
      <c r="AK35" s="76" t="s">
        <v>392</v>
      </c>
      <c r="AL35" s="76" t="s">
        <v>392</v>
      </c>
      <c r="AM35" s="76">
        <v>100</v>
      </c>
      <c r="AN35" s="76" t="s">
        <v>1380</v>
      </c>
      <c r="AO35" s="75" t="s">
        <v>1193</v>
      </c>
      <c r="AP35" s="121" t="s">
        <v>383</v>
      </c>
      <c r="AQ35" s="121" t="s">
        <v>383</v>
      </c>
      <c r="AR35" s="121" t="s">
        <v>384</v>
      </c>
      <c r="AS35" s="121" t="s">
        <v>383</v>
      </c>
      <c r="AT35" s="121" t="s">
        <v>384</v>
      </c>
      <c r="AU35" s="121" t="s">
        <v>383</v>
      </c>
      <c r="AV35" s="121" t="s">
        <v>383</v>
      </c>
      <c r="AW35" s="76" t="s">
        <v>540</v>
      </c>
      <c r="AX35" s="121" t="s">
        <v>383</v>
      </c>
      <c r="AY35" s="121" t="s">
        <v>384</v>
      </c>
      <c r="AZ35" s="121" t="s">
        <v>383</v>
      </c>
      <c r="BA35" s="121" t="s">
        <v>383</v>
      </c>
      <c r="BB35" s="121" t="s">
        <v>383</v>
      </c>
      <c r="BC35" s="121" t="s">
        <v>383</v>
      </c>
      <c r="BD35" s="121" t="s">
        <v>383</v>
      </c>
      <c r="BE35" s="76" t="s">
        <v>580</v>
      </c>
      <c r="BF35" s="76" t="s">
        <v>384</v>
      </c>
      <c r="BG35" s="76" t="s">
        <v>392</v>
      </c>
      <c r="BH35" s="76" t="s">
        <v>392</v>
      </c>
      <c r="BI35" s="76">
        <v>100</v>
      </c>
      <c r="BJ35" s="76" t="s">
        <v>384</v>
      </c>
      <c r="BK35" s="140" t="s">
        <v>1610</v>
      </c>
      <c r="BL35" s="76" t="s">
        <v>1021</v>
      </c>
      <c r="BM35" s="76" t="s">
        <v>1381</v>
      </c>
      <c r="BN35" s="76" t="s">
        <v>384</v>
      </c>
      <c r="BO35" s="76" t="s">
        <v>479</v>
      </c>
      <c r="BP35" s="76" t="s">
        <v>541</v>
      </c>
      <c r="BQ35" s="76" t="s">
        <v>542</v>
      </c>
      <c r="BR35" s="76" t="s">
        <v>575</v>
      </c>
      <c r="BS35" s="76" t="s">
        <v>1382</v>
      </c>
      <c r="BT35" s="76" t="s">
        <v>543</v>
      </c>
      <c r="BU35" s="120" t="s">
        <v>384</v>
      </c>
      <c r="BV35" s="120" t="s">
        <v>383</v>
      </c>
      <c r="BW35" s="120" t="s">
        <v>383</v>
      </c>
      <c r="BX35" s="120" t="s">
        <v>384</v>
      </c>
      <c r="BY35" s="120" t="s">
        <v>383</v>
      </c>
      <c r="BZ35" s="120" t="s">
        <v>383</v>
      </c>
      <c r="CA35" s="120" t="s">
        <v>383</v>
      </c>
      <c r="CB35" s="76" t="s">
        <v>383</v>
      </c>
      <c r="CC35" s="76" t="s">
        <v>384</v>
      </c>
      <c r="CD35" s="76" t="s">
        <v>576</v>
      </c>
      <c r="CE35" s="76" t="s">
        <v>384</v>
      </c>
      <c r="CF35" s="76" t="s">
        <v>1383</v>
      </c>
      <c r="CG35" s="121" t="s">
        <v>383</v>
      </c>
      <c r="CH35" s="121" t="s">
        <v>383</v>
      </c>
      <c r="CI35" s="121" t="s">
        <v>383</v>
      </c>
      <c r="CJ35" s="121" t="s">
        <v>383</v>
      </c>
      <c r="CK35" s="121" t="s">
        <v>383</v>
      </c>
      <c r="CL35" s="76" t="s">
        <v>383</v>
      </c>
      <c r="CM35" s="76" t="s">
        <v>392</v>
      </c>
      <c r="CN35" s="120" t="s">
        <v>383</v>
      </c>
      <c r="CO35" s="120" t="s">
        <v>383</v>
      </c>
      <c r="CP35" s="120" t="s">
        <v>383</v>
      </c>
      <c r="CQ35" s="120" t="s">
        <v>383</v>
      </c>
      <c r="CR35" s="76" t="s">
        <v>384</v>
      </c>
      <c r="CS35" s="76" t="s">
        <v>545</v>
      </c>
      <c r="CT35" s="120" t="s">
        <v>383</v>
      </c>
      <c r="CU35" s="120" t="s">
        <v>384</v>
      </c>
      <c r="CV35" s="120" t="s">
        <v>383</v>
      </c>
      <c r="CW35" s="76" t="s">
        <v>384</v>
      </c>
      <c r="CX35" s="76" t="s">
        <v>383</v>
      </c>
      <c r="CY35" s="76" t="s">
        <v>383</v>
      </c>
      <c r="CZ35" s="76" t="s">
        <v>544</v>
      </c>
      <c r="DA35" s="76" t="s">
        <v>384</v>
      </c>
      <c r="DB35" s="76" t="s">
        <v>383</v>
      </c>
      <c r="DC35" s="76" t="s">
        <v>384</v>
      </c>
      <c r="DD35" s="76" t="s">
        <v>383</v>
      </c>
      <c r="DE35" s="76" t="s">
        <v>384</v>
      </c>
      <c r="DF35" s="76" t="s">
        <v>383</v>
      </c>
      <c r="DG35" s="76" t="s">
        <v>383</v>
      </c>
      <c r="DH35" s="76" t="s">
        <v>384</v>
      </c>
      <c r="DI35" s="76"/>
      <c r="DJ35" s="76" t="s">
        <v>384</v>
      </c>
      <c r="DK35" s="76" t="s">
        <v>384</v>
      </c>
      <c r="DL35" s="76" t="s">
        <v>383</v>
      </c>
      <c r="DM35" s="76" t="s">
        <v>383</v>
      </c>
      <c r="DN35" s="76" t="s">
        <v>1384</v>
      </c>
      <c r="DO35" s="76" t="s">
        <v>586</v>
      </c>
      <c r="DP35" s="76" t="s">
        <v>383</v>
      </c>
      <c r="DQ35" s="76" t="s">
        <v>384</v>
      </c>
      <c r="DR35" s="76" t="s">
        <v>383</v>
      </c>
      <c r="DS35" s="76" t="s">
        <v>383</v>
      </c>
      <c r="DT35" s="76" t="s">
        <v>383</v>
      </c>
      <c r="DU35" s="76" t="s">
        <v>384</v>
      </c>
      <c r="DV35" s="76" t="s">
        <v>577</v>
      </c>
      <c r="DW35" s="111"/>
      <c r="DX35" s="76"/>
    </row>
    <row r="36" spans="2:128" ht="75">
      <c r="B36" s="72" t="s">
        <v>358</v>
      </c>
      <c r="C36" s="76" t="s">
        <v>204</v>
      </c>
      <c r="D36" s="76" t="s">
        <v>447</v>
      </c>
      <c r="E36" s="76">
        <v>2020</v>
      </c>
      <c r="F36" s="76" t="s">
        <v>381</v>
      </c>
      <c r="G36" s="115" t="s">
        <v>263</v>
      </c>
      <c r="H36" s="127">
        <v>2.8</v>
      </c>
      <c r="I36" s="76" t="s">
        <v>656</v>
      </c>
      <c r="J36" s="127" t="s">
        <v>1229</v>
      </c>
      <c r="K36" s="76">
        <v>38</v>
      </c>
      <c r="L36" s="76" t="s">
        <v>696</v>
      </c>
      <c r="M36" s="92" t="s">
        <v>1385</v>
      </c>
      <c r="N36" s="141" t="s">
        <v>1577</v>
      </c>
      <c r="O36" s="140" t="s">
        <v>383</v>
      </c>
      <c r="P36" s="140" t="s">
        <v>384</v>
      </c>
      <c r="Q36" s="140" t="s">
        <v>383</v>
      </c>
      <c r="R36" s="140" t="s">
        <v>384</v>
      </c>
      <c r="S36" s="140" t="s">
        <v>383</v>
      </c>
      <c r="T36" s="140" t="s">
        <v>383</v>
      </c>
      <c r="U36" s="140" t="s">
        <v>383</v>
      </c>
      <c r="V36" s="76" t="s">
        <v>697</v>
      </c>
      <c r="W36" s="76">
        <v>1984</v>
      </c>
      <c r="X36" s="76">
        <v>2014</v>
      </c>
      <c r="Y36" s="76">
        <f t="shared" si="4"/>
        <v>30</v>
      </c>
      <c r="Z36" s="76">
        <f t="shared" si="5"/>
        <v>6</v>
      </c>
      <c r="AA36" s="76">
        <v>131</v>
      </c>
      <c r="AB36" s="76">
        <v>2442</v>
      </c>
      <c r="AC36" s="75">
        <v>20205556</v>
      </c>
      <c r="AD36" s="76" t="s">
        <v>699</v>
      </c>
      <c r="AE36" s="76" t="s">
        <v>383</v>
      </c>
      <c r="AF36" s="76" t="s">
        <v>383</v>
      </c>
      <c r="AG36" s="76" t="s">
        <v>383</v>
      </c>
      <c r="AH36" s="76" t="s">
        <v>384</v>
      </c>
      <c r="AI36" s="76" t="s">
        <v>698</v>
      </c>
      <c r="AJ36" s="76" t="s">
        <v>383</v>
      </c>
      <c r="AK36" s="76" t="s">
        <v>392</v>
      </c>
      <c r="AL36" s="76" t="s">
        <v>392</v>
      </c>
      <c r="AM36" s="76"/>
      <c r="AN36" s="111" t="s">
        <v>1386</v>
      </c>
      <c r="AO36" s="76" t="s">
        <v>1192</v>
      </c>
      <c r="AP36" s="120" t="s">
        <v>383</v>
      </c>
      <c r="AQ36" s="120" t="s">
        <v>384</v>
      </c>
      <c r="AR36" s="120" t="s">
        <v>384</v>
      </c>
      <c r="AS36" s="120" t="s">
        <v>383</v>
      </c>
      <c r="AT36" s="120" t="s">
        <v>384</v>
      </c>
      <c r="AU36" s="120" t="s">
        <v>384</v>
      </c>
      <c r="AV36" s="120" t="s">
        <v>383</v>
      </c>
      <c r="AW36" s="76" t="s">
        <v>1125</v>
      </c>
      <c r="AX36" s="121" t="s">
        <v>384</v>
      </c>
      <c r="AY36" s="121" t="s">
        <v>383</v>
      </c>
      <c r="AZ36" s="121" t="s">
        <v>384</v>
      </c>
      <c r="BA36" s="121" t="s">
        <v>384</v>
      </c>
      <c r="BB36" s="121" t="s">
        <v>383</v>
      </c>
      <c r="BC36" s="121" t="s">
        <v>383</v>
      </c>
      <c r="BD36" s="121" t="s">
        <v>383</v>
      </c>
      <c r="BE36" s="76" t="s">
        <v>383</v>
      </c>
      <c r="BF36" s="76" t="s">
        <v>384</v>
      </c>
      <c r="BG36" s="76" t="s">
        <v>385</v>
      </c>
      <c r="BH36" s="76">
        <v>0.86799999999999999</v>
      </c>
      <c r="BI36" s="76">
        <v>100</v>
      </c>
      <c r="BJ36" s="76" t="s">
        <v>384</v>
      </c>
      <c r="BK36" s="140" t="s">
        <v>1611</v>
      </c>
      <c r="BL36" s="76" t="s">
        <v>663</v>
      </c>
      <c r="BM36" s="76" t="s">
        <v>1387</v>
      </c>
      <c r="BN36" s="76" t="s">
        <v>383</v>
      </c>
      <c r="BO36" s="76" t="s">
        <v>392</v>
      </c>
      <c r="BP36" s="76" t="s">
        <v>392</v>
      </c>
      <c r="BQ36" s="76" t="s">
        <v>392</v>
      </c>
      <c r="BR36" s="76" t="s">
        <v>392</v>
      </c>
      <c r="BS36" s="76" t="s">
        <v>1388</v>
      </c>
      <c r="BT36" s="76" t="s">
        <v>1243</v>
      </c>
      <c r="BU36" s="120" t="s">
        <v>384</v>
      </c>
      <c r="BV36" s="120" t="s">
        <v>383</v>
      </c>
      <c r="BW36" s="120" t="s">
        <v>383</v>
      </c>
      <c r="BX36" s="120" t="s">
        <v>383</v>
      </c>
      <c r="BY36" s="120" t="s">
        <v>384</v>
      </c>
      <c r="BZ36" s="120" t="s">
        <v>383</v>
      </c>
      <c r="CA36" s="120" t="s">
        <v>383</v>
      </c>
      <c r="CB36" s="76" t="s">
        <v>383</v>
      </c>
      <c r="CC36" s="76" t="s">
        <v>384</v>
      </c>
      <c r="CD36" s="76" t="s">
        <v>1044</v>
      </c>
      <c r="CE36" s="76" t="s">
        <v>384</v>
      </c>
      <c r="CF36" s="76" t="s">
        <v>1049</v>
      </c>
      <c r="CG36" s="121" t="s">
        <v>383</v>
      </c>
      <c r="CH36" s="121" t="s">
        <v>383</v>
      </c>
      <c r="CI36" s="121" t="s">
        <v>383</v>
      </c>
      <c r="CJ36" s="121" t="s">
        <v>383</v>
      </c>
      <c r="CK36" s="121" t="s">
        <v>384</v>
      </c>
      <c r="CL36" s="76" t="s">
        <v>384</v>
      </c>
      <c r="CM36" s="76" t="s">
        <v>701</v>
      </c>
      <c r="CN36" s="120" t="s">
        <v>384</v>
      </c>
      <c r="CO36" s="120" t="s">
        <v>383</v>
      </c>
      <c r="CP36" s="120" t="s">
        <v>383</v>
      </c>
      <c r="CQ36" s="120" t="s">
        <v>384</v>
      </c>
      <c r="CR36" s="76" t="s">
        <v>384</v>
      </c>
      <c r="CS36" s="76" t="s">
        <v>700</v>
      </c>
      <c r="CT36" s="120" t="s">
        <v>383</v>
      </c>
      <c r="CU36" s="120" t="s">
        <v>384</v>
      </c>
      <c r="CV36" s="120" t="s">
        <v>383</v>
      </c>
      <c r="CW36" s="76" t="s">
        <v>384</v>
      </c>
      <c r="CX36" s="76" t="s">
        <v>383</v>
      </c>
      <c r="CY36" s="76" t="s">
        <v>384</v>
      </c>
      <c r="CZ36" s="75" t="s">
        <v>711</v>
      </c>
      <c r="DA36" s="76" t="s">
        <v>384</v>
      </c>
      <c r="DB36" s="76" t="s">
        <v>383</v>
      </c>
      <c r="DC36" s="76" t="s">
        <v>383</v>
      </c>
      <c r="DD36" s="76" t="s">
        <v>384</v>
      </c>
      <c r="DE36" s="76" t="s">
        <v>384</v>
      </c>
      <c r="DF36" s="76" t="s">
        <v>384</v>
      </c>
      <c r="DG36" s="76" t="s">
        <v>383</v>
      </c>
      <c r="DH36" s="76" t="s">
        <v>383</v>
      </c>
      <c r="DI36" s="76" t="s">
        <v>712</v>
      </c>
      <c r="DJ36" s="76" t="s">
        <v>384</v>
      </c>
      <c r="DK36" s="76" t="s">
        <v>384</v>
      </c>
      <c r="DL36" s="76" t="s">
        <v>383</v>
      </c>
      <c r="DM36" s="76" t="s">
        <v>383</v>
      </c>
      <c r="DN36" s="76" t="s">
        <v>1389</v>
      </c>
      <c r="DO36" s="76" t="s">
        <v>1390</v>
      </c>
      <c r="DP36" s="76" t="s">
        <v>383</v>
      </c>
      <c r="DQ36" s="76" t="s">
        <v>383</v>
      </c>
      <c r="DR36" s="76" t="s">
        <v>384</v>
      </c>
      <c r="DS36" s="76" t="s">
        <v>384</v>
      </c>
      <c r="DT36" s="76" t="s">
        <v>384</v>
      </c>
      <c r="DU36" s="76" t="s">
        <v>384</v>
      </c>
      <c r="DV36" s="76" t="s">
        <v>713</v>
      </c>
      <c r="DW36" s="111" t="s">
        <v>716</v>
      </c>
      <c r="DX36" s="76"/>
    </row>
    <row r="37" spans="2:128" ht="19.5" customHeight="1">
      <c r="B37" s="72" t="s">
        <v>362</v>
      </c>
      <c r="C37" s="76" t="s">
        <v>208</v>
      </c>
      <c r="D37" s="76" t="s">
        <v>445</v>
      </c>
      <c r="E37" s="76">
        <v>2022</v>
      </c>
      <c r="F37" s="76" t="s">
        <v>381</v>
      </c>
      <c r="G37" s="76" t="s">
        <v>266</v>
      </c>
      <c r="H37" s="127" t="s">
        <v>1228</v>
      </c>
      <c r="I37" s="76" t="s">
        <v>382</v>
      </c>
      <c r="J37" s="127" t="s">
        <v>522</v>
      </c>
      <c r="K37" s="76">
        <v>37</v>
      </c>
      <c r="L37" s="76" t="s">
        <v>442</v>
      </c>
      <c r="M37" s="92" t="s">
        <v>1616</v>
      </c>
      <c r="N37" s="141" t="s">
        <v>1585</v>
      </c>
      <c r="O37" s="140" t="s">
        <v>383</v>
      </c>
      <c r="P37" s="140" t="s">
        <v>384</v>
      </c>
      <c r="Q37" s="140" t="s">
        <v>383</v>
      </c>
      <c r="R37" s="140" t="s">
        <v>383</v>
      </c>
      <c r="S37" s="140" t="s">
        <v>383</v>
      </c>
      <c r="T37" s="140" t="s">
        <v>383</v>
      </c>
      <c r="U37" s="140" t="s">
        <v>383</v>
      </c>
      <c r="V37" s="76" t="s">
        <v>443</v>
      </c>
      <c r="W37" s="76">
        <v>2015</v>
      </c>
      <c r="X37" s="76">
        <v>2022</v>
      </c>
      <c r="Y37" s="76">
        <f t="shared" si="4"/>
        <v>7</v>
      </c>
      <c r="Z37" s="76">
        <f t="shared" si="5"/>
        <v>0</v>
      </c>
      <c r="AA37" s="76">
        <v>10</v>
      </c>
      <c r="AB37" s="75">
        <v>462</v>
      </c>
      <c r="AC37" s="76"/>
      <c r="AD37" s="76" t="s">
        <v>458</v>
      </c>
      <c r="AE37" s="75" t="s">
        <v>384</v>
      </c>
      <c r="AF37" s="75" t="s">
        <v>459</v>
      </c>
      <c r="AG37" s="76" t="s">
        <v>384</v>
      </c>
      <c r="AH37" s="76" t="s">
        <v>384</v>
      </c>
      <c r="AI37" s="76" t="s">
        <v>460</v>
      </c>
      <c r="AJ37" s="76" t="s">
        <v>383</v>
      </c>
      <c r="AK37" s="76" t="s">
        <v>392</v>
      </c>
      <c r="AL37" s="76" t="s">
        <v>392</v>
      </c>
      <c r="AM37" s="76"/>
      <c r="AN37" s="76" t="s">
        <v>461</v>
      </c>
      <c r="AO37" s="76" t="s">
        <v>455</v>
      </c>
      <c r="AP37" s="120" t="s">
        <v>383</v>
      </c>
      <c r="AQ37" s="120" t="s">
        <v>383</v>
      </c>
      <c r="AR37" s="120" t="s">
        <v>383</v>
      </c>
      <c r="AS37" s="120" t="s">
        <v>384</v>
      </c>
      <c r="AT37" s="120" t="s">
        <v>383</v>
      </c>
      <c r="AU37" s="120" t="s">
        <v>383</v>
      </c>
      <c r="AV37" s="120" t="s">
        <v>383</v>
      </c>
      <c r="AW37" s="75" t="s">
        <v>1126</v>
      </c>
      <c r="AX37" s="121" t="s">
        <v>383</v>
      </c>
      <c r="AY37" s="121" t="s">
        <v>384</v>
      </c>
      <c r="AZ37" s="121" t="s">
        <v>384</v>
      </c>
      <c r="BA37" s="121" t="s">
        <v>383</v>
      </c>
      <c r="BB37" s="121" t="s">
        <v>383</v>
      </c>
      <c r="BC37" s="121" t="s">
        <v>383</v>
      </c>
      <c r="BD37" s="121" t="s">
        <v>383</v>
      </c>
      <c r="BE37" s="76" t="s">
        <v>383</v>
      </c>
      <c r="BF37" s="75" t="s">
        <v>383</v>
      </c>
      <c r="BG37" s="76" t="s">
        <v>392</v>
      </c>
      <c r="BH37" s="76" t="s">
        <v>392</v>
      </c>
      <c r="BI37" s="76"/>
      <c r="BJ37" s="76" t="s">
        <v>384</v>
      </c>
      <c r="BK37" s="140" t="s">
        <v>1615</v>
      </c>
      <c r="BL37" s="76" t="s">
        <v>462</v>
      </c>
      <c r="BM37" s="76" t="s">
        <v>1024</v>
      </c>
      <c r="BN37" s="76" t="s">
        <v>384</v>
      </c>
      <c r="BO37" s="76" t="s">
        <v>479</v>
      </c>
      <c r="BP37" s="76" t="s">
        <v>463</v>
      </c>
      <c r="BQ37" s="76" t="s">
        <v>464</v>
      </c>
      <c r="BR37" s="76" t="s">
        <v>386</v>
      </c>
      <c r="BS37" s="75" t="s">
        <v>1034</v>
      </c>
      <c r="BT37" s="111" t="s">
        <v>438</v>
      </c>
      <c r="BU37" s="121" t="s">
        <v>384</v>
      </c>
      <c r="BV37" s="121" t="s">
        <v>383</v>
      </c>
      <c r="BW37" s="121" t="s">
        <v>383</v>
      </c>
      <c r="BX37" s="121" t="s">
        <v>383</v>
      </c>
      <c r="BY37" s="121" t="s">
        <v>383</v>
      </c>
      <c r="BZ37" s="121" t="s">
        <v>383</v>
      </c>
      <c r="CA37" s="121" t="s">
        <v>383</v>
      </c>
      <c r="CB37" s="76" t="s">
        <v>383</v>
      </c>
      <c r="CC37" s="76" t="s">
        <v>383</v>
      </c>
      <c r="CD37" s="76" t="s">
        <v>383</v>
      </c>
      <c r="CE37" s="76" t="s">
        <v>384</v>
      </c>
      <c r="CF37" s="76" t="s">
        <v>465</v>
      </c>
      <c r="CG37" s="121" t="s">
        <v>384</v>
      </c>
      <c r="CH37" s="121" t="s">
        <v>383</v>
      </c>
      <c r="CI37" s="121" t="s">
        <v>384</v>
      </c>
      <c r="CJ37" s="121" t="s">
        <v>384</v>
      </c>
      <c r="CK37" s="121" t="s">
        <v>384</v>
      </c>
      <c r="CL37" s="76" t="s">
        <v>384</v>
      </c>
      <c r="CM37" s="76" t="s">
        <v>393</v>
      </c>
      <c r="CN37" s="120" t="s">
        <v>384</v>
      </c>
      <c r="CO37" s="120" t="s">
        <v>384</v>
      </c>
      <c r="CP37" s="120" t="s">
        <v>383</v>
      </c>
      <c r="CQ37" s="120" t="s">
        <v>383</v>
      </c>
      <c r="CR37" s="76" t="s">
        <v>384</v>
      </c>
      <c r="CS37" s="76" t="s">
        <v>466</v>
      </c>
      <c r="CT37" s="120" t="s">
        <v>383</v>
      </c>
      <c r="CU37" s="120" t="s">
        <v>383</v>
      </c>
      <c r="CV37" s="120" t="s">
        <v>384</v>
      </c>
      <c r="CW37" s="76" t="s">
        <v>383</v>
      </c>
      <c r="CX37" s="76" t="s">
        <v>383</v>
      </c>
      <c r="CY37" s="76" t="s">
        <v>383</v>
      </c>
      <c r="CZ37" s="75" t="s">
        <v>392</v>
      </c>
      <c r="DA37" s="76" t="s">
        <v>384</v>
      </c>
      <c r="DB37" s="76" t="s">
        <v>384</v>
      </c>
      <c r="DC37" s="76" t="s">
        <v>383</v>
      </c>
      <c r="DD37" s="76" t="s">
        <v>383</v>
      </c>
      <c r="DE37" s="76" t="s">
        <v>384</v>
      </c>
      <c r="DF37" s="75" t="s">
        <v>383</v>
      </c>
      <c r="DG37" s="76" t="s">
        <v>384</v>
      </c>
      <c r="DH37" s="76" t="s">
        <v>383</v>
      </c>
      <c r="DI37" s="76"/>
      <c r="DJ37" s="76" t="s">
        <v>383</v>
      </c>
      <c r="DK37" s="76" t="s">
        <v>383</v>
      </c>
      <c r="DL37" s="76" t="s">
        <v>383</v>
      </c>
      <c r="DM37" s="76" t="s">
        <v>383</v>
      </c>
      <c r="DN37" s="75"/>
      <c r="DO37" s="75"/>
      <c r="DP37" s="76" t="s">
        <v>383</v>
      </c>
      <c r="DQ37" s="76" t="s">
        <v>383</v>
      </c>
      <c r="DR37" s="76" t="s">
        <v>384</v>
      </c>
      <c r="DS37" s="76" t="s">
        <v>383</v>
      </c>
      <c r="DT37" s="76" t="s">
        <v>383</v>
      </c>
      <c r="DU37" s="76" t="s">
        <v>383</v>
      </c>
      <c r="DV37" s="76" t="s">
        <v>467</v>
      </c>
      <c r="DW37" s="113" t="s">
        <v>1391</v>
      </c>
      <c r="DX37" s="76"/>
    </row>
    <row r="38" spans="2:128" ht="90">
      <c r="B38" s="110" t="s">
        <v>343</v>
      </c>
      <c r="C38" s="111" t="s">
        <v>189</v>
      </c>
      <c r="D38" s="111" t="s">
        <v>316</v>
      </c>
      <c r="E38" s="111">
        <v>2020</v>
      </c>
      <c r="F38" s="111" t="s">
        <v>381</v>
      </c>
      <c r="G38" s="111" t="s">
        <v>252</v>
      </c>
      <c r="H38" s="127">
        <v>9.4</v>
      </c>
      <c r="I38" s="111" t="s">
        <v>668</v>
      </c>
      <c r="J38" s="130" t="s">
        <v>1232</v>
      </c>
      <c r="K38" s="111">
        <v>52</v>
      </c>
      <c r="L38" s="111" t="s">
        <v>681</v>
      </c>
      <c r="M38" s="113" t="s">
        <v>1392</v>
      </c>
      <c r="N38" s="141" t="s">
        <v>1579</v>
      </c>
      <c r="O38" s="140" t="s">
        <v>383</v>
      </c>
      <c r="P38" s="140" t="s">
        <v>383</v>
      </c>
      <c r="Q38" s="140" t="s">
        <v>384</v>
      </c>
      <c r="R38" s="140" t="s">
        <v>383</v>
      </c>
      <c r="S38" s="140" t="s">
        <v>383</v>
      </c>
      <c r="T38" s="140" t="s">
        <v>383</v>
      </c>
      <c r="U38" s="140" t="s">
        <v>383</v>
      </c>
      <c r="V38" s="111" t="s">
        <v>588</v>
      </c>
      <c r="W38" s="111">
        <v>1992</v>
      </c>
      <c r="X38" s="111">
        <v>2019</v>
      </c>
      <c r="Y38" s="111">
        <f t="shared" si="4"/>
        <v>27</v>
      </c>
      <c r="Z38" s="111">
        <f t="shared" si="5"/>
        <v>1</v>
      </c>
      <c r="AA38" s="111">
        <v>15</v>
      </c>
      <c r="AB38" s="111"/>
      <c r="AC38" s="111"/>
      <c r="AD38" s="111" t="s">
        <v>846</v>
      </c>
      <c r="AE38" s="111" t="s">
        <v>383</v>
      </c>
      <c r="AF38" s="111" t="s">
        <v>383</v>
      </c>
      <c r="AG38" s="111" t="s">
        <v>384</v>
      </c>
      <c r="AH38" s="111" t="s">
        <v>384</v>
      </c>
      <c r="AI38" s="111" t="s">
        <v>392</v>
      </c>
      <c r="AJ38" s="111" t="s">
        <v>383</v>
      </c>
      <c r="AK38" s="111" t="s">
        <v>392</v>
      </c>
      <c r="AL38" s="111" t="s">
        <v>392</v>
      </c>
      <c r="AM38" s="111"/>
      <c r="AN38" s="111" t="s">
        <v>1393</v>
      </c>
      <c r="AO38" s="111" t="s">
        <v>1191</v>
      </c>
      <c r="AP38" s="121" t="s">
        <v>383</v>
      </c>
      <c r="AQ38" s="121" t="s">
        <v>383</v>
      </c>
      <c r="AR38" s="121" t="s">
        <v>383</v>
      </c>
      <c r="AS38" s="121" t="s">
        <v>383</v>
      </c>
      <c r="AT38" s="121" t="s">
        <v>384</v>
      </c>
      <c r="AU38" s="121" t="s">
        <v>383</v>
      </c>
      <c r="AV38" s="121" t="s">
        <v>383</v>
      </c>
      <c r="AW38" s="111" t="s">
        <v>989</v>
      </c>
      <c r="AX38" s="121" t="s">
        <v>384</v>
      </c>
      <c r="AY38" s="121" t="s">
        <v>383</v>
      </c>
      <c r="AZ38" s="121" t="s">
        <v>383</v>
      </c>
      <c r="BA38" s="121" t="s">
        <v>383</v>
      </c>
      <c r="BB38" s="121" t="s">
        <v>383</v>
      </c>
      <c r="BC38" s="121" t="s">
        <v>383</v>
      </c>
      <c r="BD38" s="121" t="s">
        <v>383</v>
      </c>
      <c r="BE38" s="111" t="s">
        <v>383</v>
      </c>
      <c r="BF38" s="111" t="s">
        <v>384</v>
      </c>
      <c r="BG38" s="111" t="s">
        <v>478</v>
      </c>
      <c r="BH38" s="111" t="s">
        <v>392</v>
      </c>
      <c r="BI38" s="111">
        <v>100</v>
      </c>
      <c r="BJ38" s="111" t="s">
        <v>383</v>
      </c>
      <c r="BK38" s="140"/>
      <c r="BL38" s="111" t="s">
        <v>392</v>
      </c>
      <c r="BM38" s="111" t="s">
        <v>392</v>
      </c>
      <c r="BN38" s="111" t="s">
        <v>383</v>
      </c>
      <c r="BO38" s="111" t="s">
        <v>392</v>
      </c>
      <c r="BP38" s="111" t="s">
        <v>392</v>
      </c>
      <c r="BQ38" s="111" t="s">
        <v>392</v>
      </c>
      <c r="BR38" s="111" t="s">
        <v>392</v>
      </c>
      <c r="BS38" s="111" t="s">
        <v>1394</v>
      </c>
      <c r="BT38" s="111" t="s">
        <v>1039</v>
      </c>
      <c r="BU38" s="121" t="s">
        <v>383</v>
      </c>
      <c r="BV38" s="121" t="s">
        <v>383</v>
      </c>
      <c r="BW38" s="121" t="s">
        <v>383</v>
      </c>
      <c r="BX38" s="121" t="s">
        <v>383</v>
      </c>
      <c r="BY38" s="121" t="s">
        <v>383</v>
      </c>
      <c r="BZ38" s="121" t="s">
        <v>384</v>
      </c>
      <c r="CA38" s="121" t="s">
        <v>383</v>
      </c>
      <c r="CB38" s="111" t="s">
        <v>383</v>
      </c>
      <c r="CC38" s="111" t="s">
        <v>383</v>
      </c>
      <c r="CD38" s="111" t="s">
        <v>383</v>
      </c>
      <c r="CE38" s="111" t="s">
        <v>383</v>
      </c>
      <c r="CF38" s="111" t="s">
        <v>383</v>
      </c>
      <c r="CG38" s="121" t="s">
        <v>383</v>
      </c>
      <c r="CH38" s="121" t="s">
        <v>383</v>
      </c>
      <c r="CI38" s="121" t="s">
        <v>383</v>
      </c>
      <c r="CJ38" s="121" t="s">
        <v>383</v>
      </c>
      <c r="CK38" s="121" t="s">
        <v>383</v>
      </c>
      <c r="CL38" s="111" t="s">
        <v>384</v>
      </c>
      <c r="CM38" s="111" t="s">
        <v>847</v>
      </c>
      <c r="CN38" s="121" t="s">
        <v>383</v>
      </c>
      <c r="CO38" s="121" t="s">
        <v>383</v>
      </c>
      <c r="CP38" s="121" t="s">
        <v>383</v>
      </c>
      <c r="CQ38" s="121" t="s">
        <v>384</v>
      </c>
      <c r="CR38" s="111" t="s">
        <v>384</v>
      </c>
      <c r="CS38" s="111" t="s">
        <v>545</v>
      </c>
      <c r="CT38" s="121" t="s">
        <v>383</v>
      </c>
      <c r="CU38" s="121" t="s">
        <v>384</v>
      </c>
      <c r="CV38" s="121" t="s">
        <v>383</v>
      </c>
      <c r="CW38" s="111" t="s">
        <v>383</v>
      </c>
      <c r="CX38" s="111" t="s">
        <v>383</v>
      </c>
      <c r="CY38" s="111" t="s">
        <v>383</v>
      </c>
      <c r="CZ38" s="111" t="s">
        <v>848</v>
      </c>
      <c r="DA38" s="111" t="s">
        <v>383</v>
      </c>
      <c r="DB38" s="111" t="s">
        <v>383</v>
      </c>
      <c r="DC38" s="111" t="s">
        <v>384</v>
      </c>
      <c r="DD38" s="111" t="s">
        <v>384</v>
      </c>
      <c r="DE38" s="111" t="s">
        <v>384</v>
      </c>
      <c r="DF38" s="111" t="s">
        <v>384</v>
      </c>
      <c r="DG38" s="111" t="s">
        <v>384</v>
      </c>
      <c r="DH38" s="111" t="s">
        <v>383</v>
      </c>
      <c r="DI38" s="111" t="s">
        <v>669</v>
      </c>
      <c r="DJ38" s="111" t="s">
        <v>384</v>
      </c>
      <c r="DK38" s="111" t="s">
        <v>384</v>
      </c>
      <c r="DL38" s="111" t="s">
        <v>383</v>
      </c>
      <c r="DM38" s="111" t="s">
        <v>383</v>
      </c>
      <c r="DN38" s="111" t="s">
        <v>1395</v>
      </c>
      <c r="DO38" s="111" t="s">
        <v>1396</v>
      </c>
      <c r="DP38" s="111" t="s">
        <v>383</v>
      </c>
      <c r="DQ38" s="111" t="s">
        <v>383</v>
      </c>
      <c r="DR38" s="111" t="s">
        <v>383</v>
      </c>
      <c r="DS38" s="111" t="s">
        <v>384</v>
      </c>
      <c r="DT38" s="111" t="s">
        <v>384</v>
      </c>
      <c r="DU38" s="111" t="s">
        <v>384</v>
      </c>
      <c r="DV38" s="111"/>
      <c r="DW38" s="111"/>
      <c r="DX38" s="111"/>
    </row>
    <row r="39" spans="2:128" ht="60">
      <c r="B39" s="72" t="s">
        <v>360</v>
      </c>
      <c r="C39" s="111" t="s">
        <v>206</v>
      </c>
      <c r="D39" s="111" t="s">
        <v>446</v>
      </c>
      <c r="E39" s="111">
        <v>2019</v>
      </c>
      <c r="F39" s="111" t="s">
        <v>381</v>
      </c>
      <c r="G39" s="111" t="s">
        <v>244</v>
      </c>
      <c r="H39" s="127">
        <v>2.6</v>
      </c>
      <c r="I39" s="111" t="s">
        <v>656</v>
      </c>
      <c r="J39" s="128" t="s">
        <v>1229</v>
      </c>
      <c r="K39" s="111">
        <v>39</v>
      </c>
      <c r="L39" s="111" t="s">
        <v>872</v>
      </c>
      <c r="M39" s="113" t="s">
        <v>1397</v>
      </c>
      <c r="N39" s="141" t="s">
        <v>1572</v>
      </c>
      <c r="O39" s="140" t="s">
        <v>383</v>
      </c>
      <c r="P39" s="140" t="s">
        <v>384</v>
      </c>
      <c r="Q39" s="140" t="s">
        <v>383</v>
      </c>
      <c r="R39" s="140" t="s">
        <v>384</v>
      </c>
      <c r="S39" s="140" t="s">
        <v>383</v>
      </c>
      <c r="T39" s="140" t="s">
        <v>383</v>
      </c>
      <c r="U39" s="140" t="s">
        <v>383</v>
      </c>
      <c r="V39" s="111" t="s">
        <v>873</v>
      </c>
      <c r="W39" s="111">
        <v>1989</v>
      </c>
      <c r="X39" s="111">
        <v>2017</v>
      </c>
      <c r="Y39" s="111">
        <f t="shared" si="4"/>
        <v>28</v>
      </c>
      <c r="Z39" s="111">
        <f t="shared" si="5"/>
        <v>2</v>
      </c>
      <c r="AA39" s="111">
        <v>22</v>
      </c>
      <c r="AB39" s="111">
        <v>23</v>
      </c>
      <c r="AC39" s="111">
        <v>697639</v>
      </c>
      <c r="AD39" s="111" t="s">
        <v>939</v>
      </c>
      <c r="AE39" s="111" t="s">
        <v>383</v>
      </c>
      <c r="AF39" s="111" t="s">
        <v>383</v>
      </c>
      <c r="AG39" s="111" t="s">
        <v>383</v>
      </c>
      <c r="AH39" s="111" t="s">
        <v>384</v>
      </c>
      <c r="AI39" s="111" t="s">
        <v>940</v>
      </c>
      <c r="AJ39" s="111" t="s">
        <v>383</v>
      </c>
      <c r="AK39" s="111" t="s">
        <v>392</v>
      </c>
      <c r="AL39" s="111" t="s">
        <v>392</v>
      </c>
      <c r="AM39" s="111"/>
      <c r="AN39" s="111" t="s">
        <v>1398</v>
      </c>
      <c r="AO39" s="111" t="s">
        <v>392</v>
      </c>
      <c r="AP39" s="121" t="s">
        <v>383</v>
      </c>
      <c r="AQ39" s="121" t="s">
        <v>383</v>
      </c>
      <c r="AR39" s="121" t="s">
        <v>383</v>
      </c>
      <c r="AS39" s="121" t="s">
        <v>383</v>
      </c>
      <c r="AT39" s="121" t="s">
        <v>383</v>
      </c>
      <c r="AU39" s="121" t="s">
        <v>383</v>
      </c>
      <c r="AV39" s="121" t="s">
        <v>383</v>
      </c>
      <c r="AW39" s="111" t="s">
        <v>1127</v>
      </c>
      <c r="AX39" s="121" t="s">
        <v>384</v>
      </c>
      <c r="AY39" s="121" t="s">
        <v>384</v>
      </c>
      <c r="AZ39" s="121" t="s">
        <v>384</v>
      </c>
      <c r="BA39" s="121" t="s">
        <v>384</v>
      </c>
      <c r="BB39" s="121" t="s">
        <v>384</v>
      </c>
      <c r="BC39" s="121" t="s">
        <v>383</v>
      </c>
      <c r="BD39" s="121" t="s">
        <v>384</v>
      </c>
      <c r="BE39" s="111" t="s">
        <v>383</v>
      </c>
      <c r="BF39" s="111" t="s">
        <v>383</v>
      </c>
      <c r="BG39" s="111" t="s">
        <v>392</v>
      </c>
      <c r="BH39" s="111" t="s">
        <v>392</v>
      </c>
      <c r="BI39" s="114"/>
      <c r="BJ39" s="111" t="s">
        <v>383</v>
      </c>
      <c r="BK39" s="140"/>
      <c r="BL39" s="111" t="s">
        <v>392</v>
      </c>
      <c r="BM39" s="111" t="s">
        <v>392</v>
      </c>
      <c r="BN39" s="111" t="s">
        <v>383</v>
      </c>
      <c r="BO39" s="111" t="s">
        <v>392</v>
      </c>
      <c r="BP39" s="111" t="s">
        <v>392</v>
      </c>
      <c r="BQ39" s="111" t="s">
        <v>392</v>
      </c>
      <c r="BR39" s="111" t="s">
        <v>392</v>
      </c>
      <c r="BS39" s="111" t="s">
        <v>1399</v>
      </c>
      <c r="BT39" s="111" t="s">
        <v>941</v>
      </c>
      <c r="BU39" s="121" t="s">
        <v>384</v>
      </c>
      <c r="BV39" s="121" t="s">
        <v>384</v>
      </c>
      <c r="BW39" s="121" t="s">
        <v>383</v>
      </c>
      <c r="BX39" s="121" t="s">
        <v>383</v>
      </c>
      <c r="BY39" s="121" t="s">
        <v>383</v>
      </c>
      <c r="BZ39" s="121" t="s">
        <v>383</v>
      </c>
      <c r="CA39" s="121" t="s">
        <v>383</v>
      </c>
      <c r="CB39" s="111" t="s">
        <v>383</v>
      </c>
      <c r="CC39" s="111" t="s">
        <v>384</v>
      </c>
      <c r="CD39" s="111" t="s">
        <v>942</v>
      </c>
      <c r="CE39" s="111" t="s">
        <v>384</v>
      </c>
      <c r="CF39" s="111" t="s">
        <v>1050</v>
      </c>
      <c r="CG39" s="121" t="s">
        <v>383</v>
      </c>
      <c r="CH39" s="121" t="s">
        <v>383</v>
      </c>
      <c r="CI39" s="121" t="s">
        <v>384</v>
      </c>
      <c r="CJ39" s="121" t="s">
        <v>384</v>
      </c>
      <c r="CK39" s="121" t="s">
        <v>384</v>
      </c>
      <c r="CL39" s="111" t="s">
        <v>384</v>
      </c>
      <c r="CM39" s="111" t="s">
        <v>943</v>
      </c>
      <c r="CN39" s="121" t="s">
        <v>384</v>
      </c>
      <c r="CO39" s="121" t="s">
        <v>383</v>
      </c>
      <c r="CP39" s="121" t="s">
        <v>383</v>
      </c>
      <c r="CQ39" s="121" t="s">
        <v>384</v>
      </c>
      <c r="CR39" s="111" t="s">
        <v>384</v>
      </c>
      <c r="CS39" s="111" t="s">
        <v>700</v>
      </c>
      <c r="CT39" s="121" t="s">
        <v>383</v>
      </c>
      <c r="CU39" s="121" t="s">
        <v>384</v>
      </c>
      <c r="CV39" s="121" t="s">
        <v>383</v>
      </c>
      <c r="CW39" s="111" t="s">
        <v>384</v>
      </c>
      <c r="CX39" s="111" t="s">
        <v>383</v>
      </c>
      <c r="CY39" s="111" t="s">
        <v>384</v>
      </c>
      <c r="CZ39" s="111" t="s">
        <v>944</v>
      </c>
      <c r="DA39" s="111" t="s">
        <v>384</v>
      </c>
      <c r="DB39" s="111" t="s">
        <v>383</v>
      </c>
      <c r="DC39" s="111" t="s">
        <v>383</v>
      </c>
      <c r="DD39" s="111" t="s">
        <v>384</v>
      </c>
      <c r="DE39" s="111" t="s">
        <v>383</v>
      </c>
      <c r="DF39" s="111" t="s">
        <v>384</v>
      </c>
      <c r="DG39" s="111" t="s">
        <v>384</v>
      </c>
      <c r="DH39" s="111" t="s">
        <v>383</v>
      </c>
      <c r="DI39" s="111" t="s">
        <v>1066</v>
      </c>
      <c r="DJ39" s="111" t="s">
        <v>384</v>
      </c>
      <c r="DK39" s="111" t="s">
        <v>384</v>
      </c>
      <c r="DL39" s="111" t="s">
        <v>383</v>
      </c>
      <c r="DM39" s="111" t="s">
        <v>383</v>
      </c>
      <c r="DN39" s="111" t="s">
        <v>1400</v>
      </c>
      <c r="DO39" s="111" t="s">
        <v>1401</v>
      </c>
      <c r="DP39" s="111" t="s">
        <v>383</v>
      </c>
      <c r="DQ39" s="111" t="s">
        <v>383</v>
      </c>
      <c r="DR39" s="111" t="s">
        <v>384</v>
      </c>
      <c r="DS39" s="111" t="s">
        <v>384</v>
      </c>
      <c r="DT39" s="111" t="s">
        <v>384</v>
      </c>
      <c r="DU39" s="111" t="s">
        <v>384</v>
      </c>
      <c r="DV39" s="111" t="s">
        <v>1402</v>
      </c>
      <c r="DW39" s="111"/>
      <c r="DX39" s="111" t="s">
        <v>945</v>
      </c>
    </row>
    <row r="40" spans="2:128" ht="75">
      <c r="B40" s="72" t="s">
        <v>342</v>
      </c>
      <c r="C40" s="76" t="s">
        <v>188</v>
      </c>
      <c r="D40" s="76" t="s">
        <v>315</v>
      </c>
      <c r="E40" s="76">
        <v>2015</v>
      </c>
      <c r="F40" s="76" t="s">
        <v>381</v>
      </c>
      <c r="G40" s="76" t="s">
        <v>235</v>
      </c>
      <c r="H40" s="127">
        <v>6.6</v>
      </c>
      <c r="I40" s="75" t="s">
        <v>504</v>
      </c>
      <c r="J40" s="127" t="s">
        <v>1230</v>
      </c>
      <c r="K40" s="76">
        <v>1287</v>
      </c>
      <c r="L40" s="76" t="s">
        <v>506</v>
      </c>
      <c r="M40" s="92" t="s">
        <v>1403</v>
      </c>
      <c r="N40" s="141" t="s">
        <v>1617</v>
      </c>
      <c r="O40" s="140" t="s">
        <v>383</v>
      </c>
      <c r="P40" s="140" t="s">
        <v>384</v>
      </c>
      <c r="Q40" s="140" t="s">
        <v>383</v>
      </c>
      <c r="R40" s="140" t="s">
        <v>383</v>
      </c>
      <c r="S40" s="140" t="s">
        <v>384</v>
      </c>
      <c r="T40" s="140" t="s">
        <v>383</v>
      </c>
      <c r="U40" s="140" t="s">
        <v>383</v>
      </c>
      <c r="V40" s="76" t="s">
        <v>480</v>
      </c>
      <c r="W40" s="76">
        <v>1991</v>
      </c>
      <c r="X40" s="76">
        <v>2014</v>
      </c>
      <c r="Y40" s="76">
        <f t="shared" si="4"/>
        <v>23</v>
      </c>
      <c r="Z40" s="76">
        <f t="shared" si="5"/>
        <v>1</v>
      </c>
      <c r="AA40" s="76">
        <v>6</v>
      </c>
      <c r="AB40" s="76">
        <v>248</v>
      </c>
      <c r="AC40" s="76">
        <v>13922</v>
      </c>
      <c r="AD40" s="76" t="s">
        <v>508</v>
      </c>
      <c r="AE40" s="76" t="s">
        <v>383</v>
      </c>
      <c r="AF40" s="76" t="s">
        <v>383</v>
      </c>
      <c r="AG40" s="76" t="s">
        <v>383</v>
      </c>
      <c r="AH40" s="76" t="s">
        <v>384</v>
      </c>
      <c r="AI40" s="76" t="s">
        <v>510</v>
      </c>
      <c r="AJ40" s="111" t="s">
        <v>392</v>
      </c>
      <c r="AK40" s="76" t="s">
        <v>392</v>
      </c>
      <c r="AL40" s="76" t="s">
        <v>392</v>
      </c>
      <c r="AM40" s="76"/>
      <c r="AN40" s="76" t="s">
        <v>512</v>
      </c>
      <c r="AO40" s="76" t="s">
        <v>513</v>
      </c>
      <c r="AP40" s="120" t="s">
        <v>384</v>
      </c>
      <c r="AQ40" s="120" t="s">
        <v>383</v>
      </c>
      <c r="AR40" s="120" t="s">
        <v>383</v>
      </c>
      <c r="AS40" s="120" t="s">
        <v>383</v>
      </c>
      <c r="AT40" s="120" t="s">
        <v>383</v>
      </c>
      <c r="AU40" s="120" t="s">
        <v>383</v>
      </c>
      <c r="AV40" s="120" t="s">
        <v>383</v>
      </c>
      <c r="AW40" s="76" t="s">
        <v>1128</v>
      </c>
      <c r="AX40" s="120" t="s">
        <v>383</v>
      </c>
      <c r="AY40" s="120" t="s">
        <v>383</v>
      </c>
      <c r="AZ40" s="120" t="s">
        <v>383</v>
      </c>
      <c r="BA40" s="120" t="s">
        <v>384</v>
      </c>
      <c r="BB40" s="120" t="s">
        <v>383</v>
      </c>
      <c r="BC40" s="120" t="s">
        <v>383</v>
      </c>
      <c r="BD40" s="120" t="s">
        <v>383</v>
      </c>
      <c r="BE40" s="76" t="s">
        <v>383</v>
      </c>
      <c r="BF40" s="76" t="s">
        <v>568</v>
      </c>
      <c r="BG40" s="76" t="s">
        <v>514</v>
      </c>
      <c r="BH40" s="76" t="s">
        <v>515</v>
      </c>
      <c r="BI40" s="76">
        <v>100</v>
      </c>
      <c r="BJ40" s="76" t="s">
        <v>384</v>
      </c>
      <c r="BK40" s="140" t="s">
        <v>392</v>
      </c>
      <c r="BL40" s="76" t="s">
        <v>1404</v>
      </c>
      <c r="BM40" s="76" t="s">
        <v>1405</v>
      </c>
      <c r="BN40" s="76" t="s">
        <v>384</v>
      </c>
      <c r="BO40" s="76" t="s">
        <v>479</v>
      </c>
      <c r="BP40" s="76" t="s">
        <v>517</v>
      </c>
      <c r="BQ40" s="76" t="s">
        <v>518</v>
      </c>
      <c r="BR40" s="76" t="s">
        <v>481</v>
      </c>
      <c r="BS40" s="76" t="s">
        <v>1035</v>
      </c>
      <c r="BT40" s="76" t="s">
        <v>438</v>
      </c>
      <c r="BU40" s="120" t="s">
        <v>384</v>
      </c>
      <c r="BV40" s="120" t="s">
        <v>383</v>
      </c>
      <c r="BW40" s="120" t="s">
        <v>383</v>
      </c>
      <c r="BX40" s="120" t="s">
        <v>383</v>
      </c>
      <c r="BY40" s="120" t="s">
        <v>383</v>
      </c>
      <c r="BZ40" s="120" t="s">
        <v>383</v>
      </c>
      <c r="CA40" s="120" t="s">
        <v>383</v>
      </c>
      <c r="CB40" s="75" t="s">
        <v>384</v>
      </c>
      <c r="CC40" s="75" t="s">
        <v>434</v>
      </c>
      <c r="CD40" s="75" t="s">
        <v>1406</v>
      </c>
      <c r="CE40" s="76" t="s">
        <v>384</v>
      </c>
      <c r="CF40" s="76" t="s">
        <v>1407</v>
      </c>
      <c r="CG40" s="121" t="s">
        <v>384</v>
      </c>
      <c r="CH40" s="121" t="s">
        <v>383</v>
      </c>
      <c r="CI40" s="121" t="s">
        <v>383</v>
      </c>
      <c r="CJ40" s="121" t="s">
        <v>383</v>
      </c>
      <c r="CK40" s="121" t="s">
        <v>383</v>
      </c>
      <c r="CL40" s="76" t="s">
        <v>384</v>
      </c>
      <c r="CM40" s="111" t="s">
        <v>393</v>
      </c>
      <c r="CN40" s="120" t="s">
        <v>384</v>
      </c>
      <c r="CO40" s="120" t="s">
        <v>384</v>
      </c>
      <c r="CP40" s="120" t="s">
        <v>383</v>
      </c>
      <c r="CQ40" s="120" t="s">
        <v>383</v>
      </c>
      <c r="CR40" s="76" t="s">
        <v>383</v>
      </c>
      <c r="CS40" s="76" t="s">
        <v>383</v>
      </c>
      <c r="CT40" s="120" t="s">
        <v>383</v>
      </c>
      <c r="CU40" s="120" t="s">
        <v>383</v>
      </c>
      <c r="CV40" s="120" t="s">
        <v>383</v>
      </c>
      <c r="CW40" s="76" t="s">
        <v>383</v>
      </c>
      <c r="CX40" s="76" t="s">
        <v>383</v>
      </c>
      <c r="CY40" s="75" t="s">
        <v>383</v>
      </c>
      <c r="CZ40" s="76" t="s">
        <v>520</v>
      </c>
      <c r="DA40" s="76" t="s">
        <v>384</v>
      </c>
      <c r="DB40" s="76" t="s">
        <v>384</v>
      </c>
      <c r="DC40" s="76" t="s">
        <v>384</v>
      </c>
      <c r="DD40" s="76" t="s">
        <v>383</v>
      </c>
      <c r="DE40" s="76" t="s">
        <v>384</v>
      </c>
      <c r="DF40" s="76" t="s">
        <v>383</v>
      </c>
      <c r="DG40" s="76" t="s">
        <v>383</v>
      </c>
      <c r="DH40" s="76" t="s">
        <v>383</v>
      </c>
      <c r="DI40" s="76"/>
      <c r="DJ40" s="76" t="s">
        <v>383</v>
      </c>
      <c r="DK40" s="76" t="s">
        <v>383</v>
      </c>
      <c r="DL40" s="76" t="s">
        <v>383</v>
      </c>
      <c r="DM40" s="76" t="s">
        <v>383</v>
      </c>
      <c r="DN40" s="76"/>
      <c r="DO40" s="76"/>
      <c r="DP40" s="76" t="s">
        <v>383</v>
      </c>
      <c r="DQ40" s="76" t="s">
        <v>383</v>
      </c>
      <c r="DR40" s="76" t="s">
        <v>383</v>
      </c>
      <c r="DS40" s="76" t="s">
        <v>383</v>
      </c>
      <c r="DT40" s="76" t="s">
        <v>383</v>
      </c>
      <c r="DU40" s="76" t="s">
        <v>383</v>
      </c>
      <c r="DV40" s="76"/>
      <c r="DW40" s="111" t="s">
        <v>1408</v>
      </c>
      <c r="DX40" s="76" t="s">
        <v>521</v>
      </c>
    </row>
    <row r="41" spans="2:128" ht="105">
      <c r="B41" s="72" t="s">
        <v>359</v>
      </c>
      <c r="C41" s="111" t="s">
        <v>205</v>
      </c>
      <c r="D41" s="111" t="s">
        <v>309</v>
      </c>
      <c r="E41" s="111">
        <v>2020</v>
      </c>
      <c r="F41" s="111" t="s">
        <v>381</v>
      </c>
      <c r="G41" s="115" t="s">
        <v>264</v>
      </c>
      <c r="H41" s="127">
        <v>3.1</v>
      </c>
      <c r="I41" s="111" t="s">
        <v>901</v>
      </c>
      <c r="J41" s="128" t="s">
        <v>1230</v>
      </c>
      <c r="K41" s="111">
        <v>36</v>
      </c>
      <c r="L41" s="111" t="s">
        <v>902</v>
      </c>
      <c r="M41" s="113" t="s">
        <v>1409</v>
      </c>
      <c r="N41" s="141" t="s">
        <v>1586</v>
      </c>
      <c r="O41" s="140" t="s">
        <v>383</v>
      </c>
      <c r="P41" s="140" t="s">
        <v>384</v>
      </c>
      <c r="Q41" s="140" t="s">
        <v>384</v>
      </c>
      <c r="R41" s="140" t="s">
        <v>383</v>
      </c>
      <c r="S41" s="140" t="s">
        <v>383</v>
      </c>
      <c r="T41" s="140" t="s">
        <v>383</v>
      </c>
      <c r="U41" s="140" t="s">
        <v>384</v>
      </c>
      <c r="V41" s="111" t="s">
        <v>588</v>
      </c>
      <c r="W41" s="111">
        <v>2012</v>
      </c>
      <c r="X41" s="111">
        <v>2017</v>
      </c>
      <c r="Y41" s="111">
        <f xml:space="preserve"> X41 - W41</f>
        <v>5</v>
      </c>
      <c r="Z41" s="111">
        <f xml:space="preserve"> E41 - X41</f>
        <v>3</v>
      </c>
      <c r="AA41" s="111">
        <v>28</v>
      </c>
      <c r="AB41" s="111">
        <v>404</v>
      </c>
      <c r="AC41" s="111">
        <v>31492</v>
      </c>
      <c r="AD41" s="111" t="s">
        <v>1002</v>
      </c>
      <c r="AE41" s="111" t="s">
        <v>383</v>
      </c>
      <c r="AF41" s="111" t="s">
        <v>383</v>
      </c>
      <c r="AG41" s="111" t="s">
        <v>384</v>
      </c>
      <c r="AH41" s="111" t="s">
        <v>384</v>
      </c>
      <c r="AI41" s="111" t="s">
        <v>903</v>
      </c>
      <c r="AJ41" s="111" t="s">
        <v>383</v>
      </c>
      <c r="AK41" s="111" t="s">
        <v>392</v>
      </c>
      <c r="AL41" s="111" t="s">
        <v>392</v>
      </c>
      <c r="AM41" s="111"/>
      <c r="AN41" s="111" t="s">
        <v>1410</v>
      </c>
      <c r="AO41" s="111" t="s">
        <v>622</v>
      </c>
      <c r="AP41" s="121" t="s">
        <v>384</v>
      </c>
      <c r="AQ41" s="121" t="s">
        <v>383</v>
      </c>
      <c r="AR41" s="121" t="s">
        <v>383</v>
      </c>
      <c r="AS41" s="121" t="s">
        <v>383</v>
      </c>
      <c r="AT41" s="121" t="s">
        <v>383</v>
      </c>
      <c r="AU41" s="121" t="s">
        <v>383</v>
      </c>
      <c r="AV41" s="121" t="s">
        <v>383</v>
      </c>
      <c r="AW41" s="111" t="s">
        <v>1129</v>
      </c>
      <c r="AX41" s="121" t="s">
        <v>383</v>
      </c>
      <c r="AY41" s="121" t="s">
        <v>384</v>
      </c>
      <c r="AZ41" s="121" t="s">
        <v>384</v>
      </c>
      <c r="BA41" s="121" t="s">
        <v>384</v>
      </c>
      <c r="BB41" s="121" t="s">
        <v>384</v>
      </c>
      <c r="BC41" s="121" t="s">
        <v>383</v>
      </c>
      <c r="BD41" s="121" t="s">
        <v>383</v>
      </c>
      <c r="BE41" s="111" t="s">
        <v>383</v>
      </c>
      <c r="BF41" s="111" t="s">
        <v>384</v>
      </c>
      <c r="BG41" s="111" t="s">
        <v>1016</v>
      </c>
      <c r="BH41" s="111" t="s">
        <v>904</v>
      </c>
      <c r="BI41" s="111">
        <v>100</v>
      </c>
      <c r="BJ41" s="111" t="s">
        <v>384</v>
      </c>
      <c r="BK41" s="140" t="s">
        <v>1618</v>
      </c>
      <c r="BL41" s="111" t="s">
        <v>663</v>
      </c>
      <c r="BM41" s="111" t="s">
        <v>1411</v>
      </c>
      <c r="BN41" s="111" t="s">
        <v>384</v>
      </c>
      <c r="BO41" s="111" t="s">
        <v>549</v>
      </c>
      <c r="BP41" s="111" t="s">
        <v>550</v>
      </c>
      <c r="BQ41" s="111" t="s">
        <v>432</v>
      </c>
      <c r="BR41" s="111" t="s">
        <v>386</v>
      </c>
      <c r="BS41" s="111" t="s">
        <v>1412</v>
      </c>
      <c r="BT41" s="111" t="s">
        <v>1088</v>
      </c>
      <c r="BU41" s="121" t="s">
        <v>383</v>
      </c>
      <c r="BV41" s="121" t="s">
        <v>383</v>
      </c>
      <c r="BW41" s="121" t="s">
        <v>383</v>
      </c>
      <c r="BX41" s="121" t="s">
        <v>383</v>
      </c>
      <c r="BY41" s="121" t="s">
        <v>383</v>
      </c>
      <c r="BZ41" s="121" t="s">
        <v>383</v>
      </c>
      <c r="CA41" s="121" t="s">
        <v>384</v>
      </c>
      <c r="CB41" s="111" t="s">
        <v>383</v>
      </c>
      <c r="CC41" s="111" t="s">
        <v>384</v>
      </c>
      <c r="CD41" s="111" t="s">
        <v>1047</v>
      </c>
      <c r="CE41" s="111" t="s">
        <v>383</v>
      </c>
      <c r="CF41" s="111" t="s">
        <v>383</v>
      </c>
      <c r="CG41" s="121" t="s">
        <v>383</v>
      </c>
      <c r="CH41" s="121" t="s">
        <v>383</v>
      </c>
      <c r="CI41" s="121" t="s">
        <v>383</v>
      </c>
      <c r="CJ41" s="121" t="s">
        <v>383</v>
      </c>
      <c r="CK41" s="121" t="s">
        <v>383</v>
      </c>
      <c r="CL41" s="111" t="s">
        <v>383</v>
      </c>
      <c r="CM41" s="111" t="s">
        <v>383</v>
      </c>
      <c r="CN41" s="121" t="s">
        <v>383</v>
      </c>
      <c r="CO41" s="121" t="s">
        <v>383</v>
      </c>
      <c r="CP41" s="121" t="s">
        <v>383</v>
      </c>
      <c r="CQ41" s="121" t="s">
        <v>383</v>
      </c>
      <c r="CR41" s="111" t="s">
        <v>384</v>
      </c>
      <c r="CS41" s="111" t="s">
        <v>440</v>
      </c>
      <c r="CT41" s="121" t="s">
        <v>384</v>
      </c>
      <c r="CU41" s="121" t="s">
        <v>383</v>
      </c>
      <c r="CV41" s="121" t="s">
        <v>383</v>
      </c>
      <c r="CW41" s="111" t="s">
        <v>384</v>
      </c>
      <c r="CX41" s="111" t="s">
        <v>383</v>
      </c>
      <c r="CY41" s="111" t="s">
        <v>383</v>
      </c>
      <c r="CZ41" s="111" t="s">
        <v>392</v>
      </c>
      <c r="DA41" s="111" t="s">
        <v>384</v>
      </c>
      <c r="DB41" s="111" t="s">
        <v>383</v>
      </c>
      <c r="DC41" s="111" t="s">
        <v>383</v>
      </c>
      <c r="DD41" s="111" t="s">
        <v>384</v>
      </c>
      <c r="DE41" s="111" t="s">
        <v>384</v>
      </c>
      <c r="DF41" s="111" t="s">
        <v>384</v>
      </c>
      <c r="DG41" s="111" t="s">
        <v>384</v>
      </c>
      <c r="DH41" s="111" t="s">
        <v>383</v>
      </c>
      <c r="DI41" s="111" t="s">
        <v>1067</v>
      </c>
      <c r="DJ41" s="111" t="s">
        <v>384</v>
      </c>
      <c r="DK41" s="111" t="s">
        <v>383</v>
      </c>
      <c r="DL41" s="111" t="s">
        <v>383</v>
      </c>
      <c r="DM41" s="111" t="s">
        <v>383</v>
      </c>
      <c r="DN41" s="111"/>
      <c r="DO41" s="111" t="s">
        <v>1413</v>
      </c>
      <c r="DP41" s="111" t="s">
        <v>383</v>
      </c>
      <c r="DQ41" s="111" t="s">
        <v>383</v>
      </c>
      <c r="DR41" s="111" t="s">
        <v>383</v>
      </c>
      <c r="DS41" s="111" t="s">
        <v>383</v>
      </c>
      <c r="DT41" s="111" t="s">
        <v>383</v>
      </c>
      <c r="DU41" s="111" t="s">
        <v>383</v>
      </c>
      <c r="DV41" s="111"/>
      <c r="DW41" s="111"/>
      <c r="DX41" s="111"/>
    </row>
    <row r="42" spans="2:128" ht="105">
      <c r="B42" s="72" t="s">
        <v>974</v>
      </c>
      <c r="C42" s="111" t="s">
        <v>168</v>
      </c>
      <c r="D42" s="111" t="s">
        <v>985</v>
      </c>
      <c r="E42" s="111">
        <v>2022</v>
      </c>
      <c r="F42" s="111" t="s">
        <v>381</v>
      </c>
      <c r="G42" s="115" t="s">
        <v>976</v>
      </c>
      <c r="H42" s="127">
        <v>2.2999999999999998</v>
      </c>
      <c r="I42" s="111" t="s">
        <v>977</v>
      </c>
      <c r="J42" s="128" t="s">
        <v>1231</v>
      </c>
      <c r="K42" s="111">
        <v>9</v>
      </c>
      <c r="L42" s="111" t="s">
        <v>986</v>
      </c>
      <c r="M42" s="113" t="s">
        <v>1414</v>
      </c>
      <c r="N42" s="141" t="s">
        <v>1587</v>
      </c>
      <c r="O42" s="140" t="s">
        <v>383</v>
      </c>
      <c r="P42" s="140" t="s">
        <v>384</v>
      </c>
      <c r="Q42" s="140" t="s">
        <v>384</v>
      </c>
      <c r="R42" s="140" t="s">
        <v>384</v>
      </c>
      <c r="S42" s="140" t="s">
        <v>383</v>
      </c>
      <c r="T42" s="140" t="s">
        <v>383</v>
      </c>
      <c r="U42" s="140" t="s">
        <v>383</v>
      </c>
      <c r="V42" s="111" t="s">
        <v>480</v>
      </c>
      <c r="W42" s="111">
        <v>2005</v>
      </c>
      <c r="X42" s="111">
        <v>2021</v>
      </c>
      <c r="Y42" s="111">
        <f xml:space="preserve"> X42 - W42</f>
        <v>16</v>
      </c>
      <c r="Z42" s="111">
        <f xml:space="preserve"> E42 - X42</f>
        <v>1</v>
      </c>
      <c r="AA42" s="111">
        <v>21</v>
      </c>
      <c r="AB42" s="111">
        <v>1339</v>
      </c>
      <c r="AC42" s="111">
        <v>2139938</v>
      </c>
      <c r="AD42" s="111" t="s">
        <v>987</v>
      </c>
      <c r="AE42" s="111" t="s">
        <v>383</v>
      </c>
      <c r="AF42" s="111" t="s">
        <v>383</v>
      </c>
      <c r="AG42" s="111" t="s">
        <v>383</v>
      </c>
      <c r="AH42" s="111" t="s">
        <v>384</v>
      </c>
      <c r="AI42" s="111" t="s">
        <v>988</v>
      </c>
      <c r="AJ42" s="111" t="s">
        <v>384</v>
      </c>
      <c r="AK42" s="111" t="s">
        <v>392</v>
      </c>
      <c r="AL42" s="111" t="s">
        <v>392</v>
      </c>
      <c r="AM42" s="111">
        <v>100</v>
      </c>
      <c r="AN42" s="111" t="s">
        <v>1415</v>
      </c>
      <c r="AO42" s="111" t="s">
        <v>1190</v>
      </c>
      <c r="AP42" s="121" t="s">
        <v>384</v>
      </c>
      <c r="AQ42" s="121" t="s">
        <v>383</v>
      </c>
      <c r="AR42" s="121" t="s">
        <v>384</v>
      </c>
      <c r="AS42" s="121" t="s">
        <v>383</v>
      </c>
      <c r="AT42" s="121" t="s">
        <v>384</v>
      </c>
      <c r="AU42" s="121" t="s">
        <v>383</v>
      </c>
      <c r="AV42" s="121" t="s">
        <v>383</v>
      </c>
      <c r="AW42" s="111" t="s">
        <v>989</v>
      </c>
      <c r="AX42" s="121" t="s">
        <v>384</v>
      </c>
      <c r="AY42" s="121" t="s">
        <v>383</v>
      </c>
      <c r="AZ42" s="121" t="s">
        <v>383</v>
      </c>
      <c r="BA42" s="121" t="s">
        <v>383</v>
      </c>
      <c r="BB42" s="121" t="s">
        <v>383</v>
      </c>
      <c r="BC42" s="121" t="s">
        <v>383</v>
      </c>
      <c r="BD42" s="121" t="s">
        <v>383</v>
      </c>
      <c r="BE42" s="111" t="s">
        <v>383</v>
      </c>
      <c r="BF42" s="111" t="s">
        <v>384</v>
      </c>
      <c r="BG42" s="111" t="s">
        <v>392</v>
      </c>
      <c r="BH42" s="111" t="s">
        <v>392</v>
      </c>
      <c r="BI42" s="111">
        <v>100</v>
      </c>
      <c r="BJ42" s="111" t="s">
        <v>383</v>
      </c>
      <c r="BK42" s="140"/>
      <c r="BL42" s="111" t="s">
        <v>392</v>
      </c>
      <c r="BM42" s="111" t="s">
        <v>392</v>
      </c>
      <c r="BN42" s="111" t="s">
        <v>384</v>
      </c>
      <c r="BO42" s="111" t="s">
        <v>479</v>
      </c>
      <c r="BP42" s="111" t="s">
        <v>990</v>
      </c>
      <c r="BQ42" s="111" t="s">
        <v>746</v>
      </c>
      <c r="BR42" s="111" t="s">
        <v>1027</v>
      </c>
      <c r="BS42" s="111" t="s">
        <v>1416</v>
      </c>
      <c r="BT42" s="111" t="s">
        <v>438</v>
      </c>
      <c r="BU42" s="121" t="s">
        <v>384</v>
      </c>
      <c r="BV42" s="121" t="s">
        <v>383</v>
      </c>
      <c r="BW42" s="121" t="s">
        <v>383</v>
      </c>
      <c r="BX42" s="121" t="s">
        <v>383</v>
      </c>
      <c r="BY42" s="121" t="s">
        <v>383</v>
      </c>
      <c r="BZ42" s="121" t="s">
        <v>383</v>
      </c>
      <c r="CA42" s="121" t="s">
        <v>383</v>
      </c>
      <c r="CB42" s="111" t="s">
        <v>383</v>
      </c>
      <c r="CC42" s="111" t="s">
        <v>383</v>
      </c>
      <c r="CD42" s="111" t="s">
        <v>392</v>
      </c>
      <c r="CE42" s="111" t="s">
        <v>383</v>
      </c>
      <c r="CF42" s="111" t="s">
        <v>383</v>
      </c>
      <c r="CG42" s="121" t="s">
        <v>383</v>
      </c>
      <c r="CH42" s="121" t="s">
        <v>383</v>
      </c>
      <c r="CI42" s="121" t="s">
        <v>383</v>
      </c>
      <c r="CJ42" s="121" t="s">
        <v>383</v>
      </c>
      <c r="CK42" s="121" t="s">
        <v>383</v>
      </c>
      <c r="CL42" s="111" t="s">
        <v>384</v>
      </c>
      <c r="CM42" s="111" t="s">
        <v>658</v>
      </c>
      <c r="CN42" s="121" t="s">
        <v>384</v>
      </c>
      <c r="CO42" s="121" t="s">
        <v>383</v>
      </c>
      <c r="CP42" s="121" t="s">
        <v>383</v>
      </c>
      <c r="CQ42" s="121" t="s">
        <v>383</v>
      </c>
      <c r="CR42" s="111" t="s">
        <v>384</v>
      </c>
      <c r="CS42" s="111" t="s">
        <v>392</v>
      </c>
      <c r="CT42" s="121" t="s">
        <v>383</v>
      </c>
      <c r="CU42" s="121" t="s">
        <v>383</v>
      </c>
      <c r="CV42" s="121" t="s">
        <v>383</v>
      </c>
      <c r="CW42" s="111" t="s">
        <v>383</v>
      </c>
      <c r="CX42" s="111" t="s">
        <v>383</v>
      </c>
      <c r="CY42" s="111" t="s">
        <v>383</v>
      </c>
      <c r="CZ42" s="111" t="s">
        <v>991</v>
      </c>
      <c r="DA42" s="111" t="s">
        <v>384</v>
      </c>
      <c r="DB42" s="111" t="s">
        <v>383</v>
      </c>
      <c r="DC42" s="111" t="s">
        <v>384</v>
      </c>
      <c r="DD42" s="111" t="s">
        <v>383</v>
      </c>
      <c r="DE42" s="111" t="s">
        <v>384</v>
      </c>
      <c r="DF42" s="111" t="s">
        <v>383</v>
      </c>
      <c r="DG42" s="111" t="s">
        <v>383</v>
      </c>
      <c r="DH42" s="111" t="s">
        <v>384</v>
      </c>
      <c r="DI42" s="111"/>
      <c r="DJ42" s="111" t="s">
        <v>384</v>
      </c>
      <c r="DK42" s="111" t="s">
        <v>383</v>
      </c>
      <c r="DL42" s="111" t="s">
        <v>383</v>
      </c>
      <c r="DM42" s="111" t="s">
        <v>383</v>
      </c>
      <c r="DN42" s="111" t="s">
        <v>1417</v>
      </c>
      <c r="DO42" s="111" t="s">
        <v>1418</v>
      </c>
      <c r="DP42" s="111" t="s">
        <v>384</v>
      </c>
      <c r="DQ42" s="111" t="s">
        <v>383</v>
      </c>
      <c r="DR42" s="111" t="s">
        <v>383</v>
      </c>
      <c r="DS42" s="111" t="s">
        <v>383</v>
      </c>
      <c r="DT42" s="111" t="s">
        <v>384</v>
      </c>
      <c r="DU42" s="111" t="s">
        <v>384</v>
      </c>
      <c r="DV42" s="111"/>
      <c r="DW42" s="111"/>
      <c r="DX42" s="111"/>
    </row>
    <row r="43" spans="2:128" ht="90">
      <c r="B43" s="72" t="s">
        <v>338</v>
      </c>
      <c r="C43" s="111" t="s">
        <v>184</v>
      </c>
      <c r="D43" s="111" t="s">
        <v>451</v>
      </c>
      <c r="E43" s="111">
        <v>2019</v>
      </c>
      <c r="F43" s="111" t="s">
        <v>381</v>
      </c>
      <c r="G43" s="111" t="s">
        <v>249</v>
      </c>
      <c r="H43" s="127">
        <v>3.1</v>
      </c>
      <c r="I43" s="109" t="s">
        <v>946</v>
      </c>
      <c r="J43" s="131" t="s">
        <v>1233</v>
      </c>
      <c r="K43" s="111">
        <v>9</v>
      </c>
      <c r="L43" s="111" t="s">
        <v>947</v>
      </c>
      <c r="M43" s="113" t="s">
        <v>1419</v>
      </c>
      <c r="N43" s="141" t="s">
        <v>1569</v>
      </c>
      <c r="O43" s="140" t="s">
        <v>383</v>
      </c>
      <c r="P43" s="140" t="s">
        <v>384</v>
      </c>
      <c r="Q43" s="140" t="s">
        <v>383</v>
      </c>
      <c r="R43" s="140" t="s">
        <v>383</v>
      </c>
      <c r="S43" s="140" t="s">
        <v>383</v>
      </c>
      <c r="T43" s="140" t="s">
        <v>383</v>
      </c>
      <c r="U43" s="140" t="s">
        <v>383</v>
      </c>
      <c r="V43" s="111" t="s">
        <v>948</v>
      </c>
      <c r="W43" s="111">
        <v>1986</v>
      </c>
      <c r="X43" s="111">
        <v>2017</v>
      </c>
      <c r="Y43" s="111">
        <f t="shared" ref="Y43" si="6" xml:space="preserve"> X43 - W43</f>
        <v>31</v>
      </c>
      <c r="Z43" s="111">
        <f t="shared" ref="Z43" si="7" xml:space="preserve"> E43 - X43</f>
        <v>2</v>
      </c>
      <c r="AA43" s="111">
        <v>233</v>
      </c>
      <c r="AB43" s="111">
        <v>332</v>
      </c>
      <c r="AC43" s="111">
        <v>21968</v>
      </c>
      <c r="AD43" s="111" t="s">
        <v>1001</v>
      </c>
      <c r="AE43" s="111" t="s">
        <v>383</v>
      </c>
      <c r="AF43" s="111" t="s">
        <v>383</v>
      </c>
      <c r="AG43" s="111" t="s">
        <v>383</v>
      </c>
      <c r="AH43" s="111" t="s">
        <v>384</v>
      </c>
      <c r="AI43" s="111" t="s">
        <v>832</v>
      </c>
      <c r="AJ43" s="111" t="s">
        <v>434</v>
      </c>
      <c r="AK43" s="111" t="s">
        <v>392</v>
      </c>
      <c r="AL43" s="111" t="s">
        <v>392</v>
      </c>
      <c r="AM43" s="111"/>
      <c r="AN43" s="111" t="s">
        <v>1420</v>
      </c>
      <c r="AO43" s="111" t="s">
        <v>1189</v>
      </c>
      <c r="AP43" s="121" t="s">
        <v>384</v>
      </c>
      <c r="AQ43" s="121" t="s">
        <v>383</v>
      </c>
      <c r="AR43" s="121" t="s">
        <v>383</v>
      </c>
      <c r="AS43" s="121" t="s">
        <v>383</v>
      </c>
      <c r="AT43" s="121" t="s">
        <v>383</v>
      </c>
      <c r="AU43" s="121" t="s">
        <v>383</v>
      </c>
      <c r="AV43" s="121" t="s">
        <v>384</v>
      </c>
      <c r="AW43" s="111" t="s">
        <v>540</v>
      </c>
      <c r="AX43" s="121" t="s">
        <v>383</v>
      </c>
      <c r="AY43" s="121" t="s">
        <v>384</v>
      </c>
      <c r="AZ43" s="121" t="s">
        <v>383</v>
      </c>
      <c r="BA43" s="121" t="s">
        <v>383</v>
      </c>
      <c r="BB43" s="121" t="s">
        <v>383</v>
      </c>
      <c r="BC43" s="121" t="s">
        <v>383</v>
      </c>
      <c r="BD43" s="121" t="s">
        <v>383</v>
      </c>
      <c r="BE43" s="111" t="s">
        <v>383</v>
      </c>
      <c r="BF43" s="111" t="s">
        <v>384</v>
      </c>
      <c r="BG43" s="111" t="s">
        <v>478</v>
      </c>
      <c r="BH43" s="112">
        <v>1</v>
      </c>
      <c r="BI43" s="111">
        <v>100</v>
      </c>
      <c r="BJ43" s="111" t="s">
        <v>384</v>
      </c>
      <c r="BK43" s="140" t="s">
        <v>1619</v>
      </c>
      <c r="BL43" s="111" t="s">
        <v>663</v>
      </c>
      <c r="BM43" s="111" t="s">
        <v>1421</v>
      </c>
      <c r="BN43" s="111" t="s">
        <v>384</v>
      </c>
      <c r="BO43" s="111" t="s">
        <v>549</v>
      </c>
      <c r="BP43" s="111" t="s">
        <v>392</v>
      </c>
      <c r="BQ43" s="111" t="s">
        <v>542</v>
      </c>
      <c r="BR43" s="111" t="s">
        <v>949</v>
      </c>
      <c r="BS43" s="111" t="s">
        <v>1422</v>
      </c>
      <c r="BT43" s="111" t="s">
        <v>1040</v>
      </c>
      <c r="BU43" s="121" t="s">
        <v>384</v>
      </c>
      <c r="BV43" s="121" t="s">
        <v>383</v>
      </c>
      <c r="BW43" s="121" t="s">
        <v>383</v>
      </c>
      <c r="BX43" s="121" t="s">
        <v>383</v>
      </c>
      <c r="BY43" s="121" t="s">
        <v>383</v>
      </c>
      <c r="BZ43" s="121" t="s">
        <v>384</v>
      </c>
      <c r="CA43" s="121" t="s">
        <v>383</v>
      </c>
      <c r="CB43" s="111" t="s">
        <v>383</v>
      </c>
      <c r="CC43" s="111" t="s">
        <v>384</v>
      </c>
      <c r="CD43" s="111" t="s">
        <v>1091</v>
      </c>
      <c r="CE43" s="111" t="s">
        <v>384</v>
      </c>
      <c r="CF43" s="111" t="s">
        <v>952</v>
      </c>
      <c r="CG43" s="121" t="s">
        <v>383</v>
      </c>
      <c r="CH43" s="121" t="s">
        <v>383</v>
      </c>
      <c r="CI43" s="121" t="s">
        <v>384</v>
      </c>
      <c r="CJ43" s="121" t="s">
        <v>383</v>
      </c>
      <c r="CK43" s="121" t="s">
        <v>384</v>
      </c>
      <c r="CL43" s="111" t="s">
        <v>384</v>
      </c>
      <c r="CM43" s="111" t="s">
        <v>951</v>
      </c>
      <c r="CN43" s="121" t="s">
        <v>383</v>
      </c>
      <c r="CO43" s="121" t="s">
        <v>384</v>
      </c>
      <c r="CP43" s="121" t="s">
        <v>384</v>
      </c>
      <c r="CQ43" s="121" t="s">
        <v>383</v>
      </c>
      <c r="CR43" s="111" t="s">
        <v>384</v>
      </c>
      <c r="CS43" s="111" t="s">
        <v>519</v>
      </c>
      <c r="CT43" s="121" t="s">
        <v>383</v>
      </c>
      <c r="CU43" s="121" t="s">
        <v>384</v>
      </c>
      <c r="CV43" s="121" t="s">
        <v>383</v>
      </c>
      <c r="CW43" s="111" t="s">
        <v>384</v>
      </c>
      <c r="CX43" s="111" t="s">
        <v>383</v>
      </c>
      <c r="CY43" s="111" t="s">
        <v>383</v>
      </c>
      <c r="CZ43" s="111" t="s">
        <v>950</v>
      </c>
      <c r="DA43" s="111" t="s">
        <v>383</v>
      </c>
      <c r="DB43" s="111" t="s">
        <v>383</v>
      </c>
      <c r="DC43" s="111" t="s">
        <v>383</v>
      </c>
      <c r="DD43" s="111" t="s">
        <v>383</v>
      </c>
      <c r="DE43" s="111" t="s">
        <v>383</v>
      </c>
      <c r="DF43" s="111" t="s">
        <v>384</v>
      </c>
      <c r="DG43" s="111" t="s">
        <v>384</v>
      </c>
      <c r="DH43" s="111" t="s">
        <v>383</v>
      </c>
      <c r="DI43" s="111"/>
      <c r="DJ43" s="111" t="s">
        <v>384</v>
      </c>
      <c r="DK43" s="111" t="s">
        <v>383</v>
      </c>
      <c r="DL43" s="111" t="s">
        <v>383</v>
      </c>
      <c r="DM43" s="111" t="s">
        <v>383</v>
      </c>
      <c r="DN43" s="111" t="s">
        <v>1423</v>
      </c>
      <c r="DO43" s="111"/>
      <c r="DP43" s="111" t="s">
        <v>383</v>
      </c>
      <c r="DQ43" s="111" t="s">
        <v>383</v>
      </c>
      <c r="DR43" s="111" t="s">
        <v>384</v>
      </c>
      <c r="DS43" s="111" t="s">
        <v>383</v>
      </c>
      <c r="DT43" s="111" t="s">
        <v>383</v>
      </c>
      <c r="DU43" s="111" t="s">
        <v>383</v>
      </c>
      <c r="DV43" s="111"/>
      <c r="DW43" s="111"/>
      <c r="DX43" s="111"/>
    </row>
    <row r="44" spans="2:128" ht="195">
      <c r="B44" s="72" t="s">
        <v>376</v>
      </c>
      <c r="C44" s="76" t="s">
        <v>221</v>
      </c>
      <c r="D44" s="72" t="s">
        <v>294</v>
      </c>
      <c r="E44" s="76">
        <v>2018</v>
      </c>
      <c r="F44" s="76" t="s">
        <v>381</v>
      </c>
      <c r="G44" s="115" t="s">
        <v>229</v>
      </c>
      <c r="H44" s="127">
        <v>5.7</v>
      </c>
      <c r="I44" s="76" t="s">
        <v>626</v>
      </c>
      <c r="J44" s="127" t="s">
        <v>1230</v>
      </c>
      <c r="K44" s="76">
        <v>36</v>
      </c>
      <c r="L44" s="76" t="s">
        <v>619</v>
      </c>
      <c r="M44" s="92" t="s">
        <v>1424</v>
      </c>
      <c r="N44" s="141" t="s">
        <v>1587</v>
      </c>
      <c r="O44" s="140" t="s">
        <v>383</v>
      </c>
      <c r="P44" s="140" t="s">
        <v>384</v>
      </c>
      <c r="Q44" s="140" t="s">
        <v>384</v>
      </c>
      <c r="R44" s="140" t="s">
        <v>384</v>
      </c>
      <c r="S44" s="140" t="s">
        <v>383</v>
      </c>
      <c r="T44" s="140" t="s">
        <v>383</v>
      </c>
      <c r="U44" s="140" t="s">
        <v>383</v>
      </c>
      <c r="V44" s="76" t="s">
        <v>419</v>
      </c>
      <c r="W44" s="76">
        <v>2002</v>
      </c>
      <c r="X44" s="76">
        <v>2014</v>
      </c>
      <c r="Y44" s="76">
        <f t="shared" si="4"/>
        <v>12</v>
      </c>
      <c r="Z44" s="76">
        <f t="shared" si="5"/>
        <v>4</v>
      </c>
      <c r="AA44" s="76">
        <v>64</v>
      </c>
      <c r="AB44" s="76">
        <v>540</v>
      </c>
      <c r="AC44" s="77">
        <v>137957</v>
      </c>
      <c r="AD44" s="76" t="s">
        <v>621</v>
      </c>
      <c r="AE44" s="76" t="s">
        <v>384</v>
      </c>
      <c r="AF44" s="76" t="s">
        <v>573</v>
      </c>
      <c r="AG44" s="76" t="s">
        <v>383</v>
      </c>
      <c r="AH44" s="76" t="s">
        <v>384</v>
      </c>
      <c r="AI44" s="76" t="s">
        <v>620</v>
      </c>
      <c r="AJ44" s="76" t="s">
        <v>384</v>
      </c>
      <c r="AK44" s="76" t="s">
        <v>392</v>
      </c>
      <c r="AL44" s="76" t="s">
        <v>392</v>
      </c>
      <c r="AM44" s="76">
        <v>100</v>
      </c>
      <c r="AN44" s="111" t="s">
        <v>1425</v>
      </c>
      <c r="AO44" s="76" t="s">
        <v>622</v>
      </c>
      <c r="AP44" s="120" t="s">
        <v>384</v>
      </c>
      <c r="AQ44" s="120" t="s">
        <v>383</v>
      </c>
      <c r="AR44" s="120" t="s">
        <v>383</v>
      </c>
      <c r="AS44" s="120" t="s">
        <v>383</v>
      </c>
      <c r="AT44" s="120" t="s">
        <v>383</v>
      </c>
      <c r="AU44" s="120" t="s">
        <v>383</v>
      </c>
      <c r="AV44" s="120" t="s">
        <v>383</v>
      </c>
      <c r="AW44" s="76" t="s">
        <v>1130</v>
      </c>
      <c r="AX44" s="120" t="s">
        <v>383</v>
      </c>
      <c r="AY44" s="120" t="s">
        <v>383</v>
      </c>
      <c r="AZ44" s="120" t="s">
        <v>383</v>
      </c>
      <c r="BA44" s="120" t="s">
        <v>384</v>
      </c>
      <c r="BB44" s="120" t="s">
        <v>383</v>
      </c>
      <c r="BC44" s="120" t="s">
        <v>383</v>
      </c>
      <c r="BD44" s="120" t="s">
        <v>383</v>
      </c>
      <c r="BE44" s="76" t="s">
        <v>383</v>
      </c>
      <c r="BF44" s="76" t="s">
        <v>384</v>
      </c>
      <c r="BG44" s="76" t="s">
        <v>392</v>
      </c>
      <c r="BH44" s="76" t="s">
        <v>392</v>
      </c>
      <c r="BI44" s="76">
        <v>100</v>
      </c>
      <c r="BJ44" s="76" t="s">
        <v>384</v>
      </c>
      <c r="BK44" s="140" t="s">
        <v>392</v>
      </c>
      <c r="BL44" s="76" t="s">
        <v>1020</v>
      </c>
      <c r="BM44" s="76" t="s">
        <v>1429</v>
      </c>
      <c r="BN44" s="76" t="s">
        <v>384</v>
      </c>
      <c r="BO44" s="76" t="s">
        <v>479</v>
      </c>
      <c r="BP44" s="76" t="s">
        <v>651</v>
      </c>
      <c r="BQ44" s="75" t="s">
        <v>392</v>
      </c>
      <c r="BR44" s="76" t="s">
        <v>1028</v>
      </c>
      <c r="BS44" s="76" t="s">
        <v>1426</v>
      </c>
      <c r="BT44" s="111" t="s">
        <v>438</v>
      </c>
      <c r="BU44" s="121" t="s">
        <v>384</v>
      </c>
      <c r="BV44" s="121" t="s">
        <v>383</v>
      </c>
      <c r="BW44" s="121" t="s">
        <v>383</v>
      </c>
      <c r="BX44" s="121" t="s">
        <v>383</v>
      </c>
      <c r="BY44" s="121" t="s">
        <v>383</v>
      </c>
      <c r="BZ44" s="121" t="s">
        <v>383</v>
      </c>
      <c r="CA44" s="121" t="s">
        <v>383</v>
      </c>
      <c r="CB44" s="76" t="s">
        <v>383</v>
      </c>
      <c r="CC44" s="111" t="s">
        <v>384</v>
      </c>
      <c r="CD44" s="76" t="s">
        <v>652</v>
      </c>
      <c r="CE44" s="76" t="s">
        <v>383</v>
      </c>
      <c r="CF44" s="76" t="s">
        <v>383</v>
      </c>
      <c r="CG44" s="121" t="s">
        <v>383</v>
      </c>
      <c r="CH44" s="121" t="s">
        <v>383</v>
      </c>
      <c r="CI44" s="121" t="s">
        <v>383</v>
      </c>
      <c r="CJ44" s="121" t="s">
        <v>383</v>
      </c>
      <c r="CK44" s="121" t="s">
        <v>383</v>
      </c>
      <c r="CL44" s="76" t="s">
        <v>384</v>
      </c>
      <c r="CM44" s="76" t="s">
        <v>623</v>
      </c>
      <c r="CN44" s="120" t="s">
        <v>383</v>
      </c>
      <c r="CO44" s="120" t="s">
        <v>383</v>
      </c>
      <c r="CP44" s="120" t="s">
        <v>383</v>
      </c>
      <c r="CQ44" s="120" t="s">
        <v>384</v>
      </c>
      <c r="CR44" s="76" t="s">
        <v>384</v>
      </c>
      <c r="CS44" s="76" t="s">
        <v>625</v>
      </c>
      <c r="CT44" s="120" t="s">
        <v>383</v>
      </c>
      <c r="CU44" s="120" t="s">
        <v>383</v>
      </c>
      <c r="CV44" s="120" t="s">
        <v>384</v>
      </c>
      <c r="CW44" s="76" t="s">
        <v>383</v>
      </c>
      <c r="CX44" s="76" t="s">
        <v>383</v>
      </c>
      <c r="CY44" s="75" t="s">
        <v>383</v>
      </c>
      <c r="CZ44" s="76" t="s">
        <v>624</v>
      </c>
      <c r="DA44" s="76" t="s">
        <v>383</v>
      </c>
      <c r="DB44" s="76" t="s">
        <v>383</v>
      </c>
      <c r="DC44" s="76" t="s">
        <v>384</v>
      </c>
      <c r="DD44" s="76" t="s">
        <v>383</v>
      </c>
      <c r="DE44" s="75" t="s">
        <v>384</v>
      </c>
      <c r="DF44" s="76" t="s">
        <v>383</v>
      </c>
      <c r="DG44" s="76" t="s">
        <v>383</v>
      </c>
      <c r="DH44" s="76" t="s">
        <v>383</v>
      </c>
      <c r="DI44" s="76"/>
      <c r="DJ44" s="76" t="s">
        <v>383</v>
      </c>
      <c r="DK44" s="76" t="s">
        <v>383</v>
      </c>
      <c r="DL44" s="76" t="s">
        <v>383</v>
      </c>
      <c r="DM44" s="76" t="s">
        <v>383</v>
      </c>
      <c r="DN44" s="76" t="s">
        <v>1427</v>
      </c>
      <c r="DO44" s="76" t="s">
        <v>1428</v>
      </c>
      <c r="DP44" s="76" t="s">
        <v>384</v>
      </c>
      <c r="DQ44" s="76" t="s">
        <v>383</v>
      </c>
      <c r="DR44" s="76" t="s">
        <v>384</v>
      </c>
      <c r="DS44" s="75" t="s">
        <v>384</v>
      </c>
      <c r="DT44" s="76" t="s">
        <v>383</v>
      </c>
      <c r="DU44" s="76" t="s">
        <v>383</v>
      </c>
      <c r="DV44" s="76"/>
      <c r="DW44" s="111" t="s">
        <v>654</v>
      </c>
      <c r="DX44" s="76"/>
    </row>
    <row r="45" spans="2:128" ht="135">
      <c r="B45" s="72" t="s">
        <v>323</v>
      </c>
      <c r="C45" s="111" t="s">
        <v>169</v>
      </c>
      <c r="D45" s="111" t="s">
        <v>274</v>
      </c>
      <c r="E45" s="111">
        <v>2022</v>
      </c>
      <c r="F45" s="111" t="s">
        <v>381</v>
      </c>
      <c r="G45" s="111" t="s">
        <v>235</v>
      </c>
      <c r="H45" s="127">
        <v>6.6</v>
      </c>
      <c r="I45" s="111" t="s">
        <v>628</v>
      </c>
      <c r="J45" s="128" t="s">
        <v>1230</v>
      </c>
      <c r="K45" s="111">
        <v>50</v>
      </c>
      <c r="L45" s="111" t="s">
        <v>905</v>
      </c>
      <c r="M45" s="113" t="s">
        <v>1430</v>
      </c>
      <c r="N45" s="141" t="s">
        <v>1588</v>
      </c>
      <c r="O45" s="140" t="s">
        <v>384</v>
      </c>
      <c r="P45" s="140" t="s">
        <v>384</v>
      </c>
      <c r="Q45" s="140" t="s">
        <v>383</v>
      </c>
      <c r="R45" s="140" t="s">
        <v>383</v>
      </c>
      <c r="S45" s="140" t="s">
        <v>383</v>
      </c>
      <c r="T45" s="140" t="s">
        <v>383</v>
      </c>
      <c r="U45" s="140" t="s">
        <v>384</v>
      </c>
      <c r="V45" s="111" t="s">
        <v>482</v>
      </c>
      <c r="W45" s="111">
        <v>1989</v>
      </c>
      <c r="X45" s="111">
        <v>2020</v>
      </c>
      <c r="Y45" s="111">
        <f t="shared" si="4"/>
        <v>31</v>
      </c>
      <c r="Z45" s="111">
        <f t="shared" si="5"/>
        <v>2</v>
      </c>
      <c r="AA45" s="111">
        <v>40</v>
      </c>
      <c r="AB45" s="111">
        <v>776</v>
      </c>
      <c r="AC45" s="111">
        <v>74947</v>
      </c>
      <c r="AD45" s="111" t="s">
        <v>906</v>
      </c>
      <c r="AE45" s="111" t="s">
        <v>384</v>
      </c>
      <c r="AF45" s="111" t="s">
        <v>671</v>
      </c>
      <c r="AG45" s="111" t="s">
        <v>383</v>
      </c>
      <c r="AH45" s="111" t="s">
        <v>384</v>
      </c>
      <c r="AI45" s="111" t="s">
        <v>907</v>
      </c>
      <c r="AJ45" s="111" t="s">
        <v>384</v>
      </c>
      <c r="AK45" s="111" t="s">
        <v>421</v>
      </c>
      <c r="AL45" s="111" t="s">
        <v>908</v>
      </c>
      <c r="AM45" s="111">
        <v>20.23</v>
      </c>
      <c r="AN45" s="111" t="s">
        <v>1431</v>
      </c>
      <c r="AO45" s="111" t="s">
        <v>1188</v>
      </c>
      <c r="AP45" s="121" t="s">
        <v>384</v>
      </c>
      <c r="AQ45" s="121" t="s">
        <v>383</v>
      </c>
      <c r="AR45" s="121" t="s">
        <v>383</v>
      </c>
      <c r="AS45" s="121" t="s">
        <v>383</v>
      </c>
      <c r="AT45" s="121" t="s">
        <v>383</v>
      </c>
      <c r="AU45" s="121" t="s">
        <v>383</v>
      </c>
      <c r="AV45" s="121" t="s">
        <v>384</v>
      </c>
      <c r="AW45" s="111" t="s">
        <v>1131</v>
      </c>
      <c r="AX45" s="121" t="s">
        <v>384</v>
      </c>
      <c r="AY45" s="121" t="s">
        <v>383</v>
      </c>
      <c r="AZ45" s="121" t="s">
        <v>383</v>
      </c>
      <c r="BA45" s="121" t="s">
        <v>384</v>
      </c>
      <c r="BB45" s="121" t="s">
        <v>384</v>
      </c>
      <c r="BC45" s="121" t="s">
        <v>383</v>
      </c>
      <c r="BD45" s="121" t="s">
        <v>384</v>
      </c>
      <c r="BE45" s="111" t="s">
        <v>383</v>
      </c>
      <c r="BF45" s="111" t="s">
        <v>384</v>
      </c>
      <c r="BG45" s="111" t="s">
        <v>478</v>
      </c>
      <c r="BH45" s="112">
        <v>0.96</v>
      </c>
      <c r="BI45" s="111">
        <v>73</v>
      </c>
      <c r="BJ45" s="111" t="s">
        <v>384</v>
      </c>
      <c r="BK45" s="140" t="s">
        <v>1620</v>
      </c>
      <c r="BL45" s="111" t="s">
        <v>663</v>
      </c>
      <c r="BM45" s="111" t="s">
        <v>1432</v>
      </c>
      <c r="BN45" s="111" t="s">
        <v>384</v>
      </c>
      <c r="BO45" s="111" t="s">
        <v>479</v>
      </c>
      <c r="BP45" s="111" t="s">
        <v>1104</v>
      </c>
      <c r="BQ45" s="111" t="s">
        <v>542</v>
      </c>
      <c r="BR45" s="111" t="s">
        <v>1027</v>
      </c>
      <c r="BS45" s="111" t="s">
        <v>1433</v>
      </c>
      <c r="BT45" s="111" t="s">
        <v>438</v>
      </c>
      <c r="BU45" s="121" t="s">
        <v>384</v>
      </c>
      <c r="BV45" s="121" t="s">
        <v>383</v>
      </c>
      <c r="BW45" s="121" t="s">
        <v>383</v>
      </c>
      <c r="BX45" s="121" t="s">
        <v>383</v>
      </c>
      <c r="BY45" s="121" t="s">
        <v>383</v>
      </c>
      <c r="BZ45" s="121" t="s">
        <v>383</v>
      </c>
      <c r="CA45" s="121" t="s">
        <v>383</v>
      </c>
      <c r="CB45" s="75" t="s">
        <v>383</v>
      </c>
      <c r="CC45" s="111" t="s">
        <v>383</v>
      </c>
      <c r="CD45" s="111" t="s">
        <v>383</v>
      </c>
      <c r="CE45" s="111" t="s">
        <v>384</v>
      </c>
      <c r="CF45" s="111" t="s">
        <v>435</v>
      </c>
      <c r="CG45" s="121" t="s">
        <v>384</v>
      </c>
      <c r="CH45" s="121" t="s">
        <v>383</v>
      </c>
      <c r="CI45" s="121" t="s">
        <v>383</v>
      </c>
      <c r="CJ45" s="121" t="s">
        <v>383</v>
      </c>
      <c r="CK45" s="121" t="s">
        <v>383</v>
      </c>
      <c r="CL45" s="111" t="s">
        <v>384</v>
      </c>
      <c r="CM45" s="111" t="s">
        <v>909</v>
      </c>
      <c r="CN45" s="121" t="s">
        <v>383</v>
      </c>
      <c r="CO45" s="121" t="s">
        <v>383</v>
      </c>
      <c r="CP45" s="121" t="s">
        <v>383</v>
      </c>
      <c r="CQ45" s="121" t="s">
        <v>384</v>
      </c>
      <c r="CR45" s="111" t="s">
        <v>384</v>
      </c>
      <c r="CS45" s="111" t="s">
        <v>440</v>
      </c>
      <c r="CT45" s="121" t="s">
        <v>384</v>
      </c>
      <c r="CU45" s="121" t="s">
        <v>383</v>
      </c>
      <c r="CV45" s="121" t="s">
        <v>383</v>
      </c>
      <c r="CW45" s="111" t="s">
        <v>384</v>
      </c>
      <c r="CX45" s="111" t="s">
        <v>384</v>
      </c>
      <c r="CY45" s="111" t="s">
        <v>383</v>
      </c>
      <c r="CZ45" s="111" t="s">
        <v>910</v>
      </c>
      <c r="DA45" s="111" t="s">
        <v>384</v>
      </c>
      <c r="DB45" s="111" t="s">
        <v>384</v>
      </c>
      <c r="DC45" s="111" t="s">
        <v>383</v>
      </c>
      <c r="DD45" s="111" t="s">
        <v>383</v>
      </c>
      <c r="DE45" s="111" t="s">
        <v>384</v>
      </c>
      <c r="DF45" s="111" t="s">
        <v>384</v>
      </c>
      <c r="DG45" s="111" t="s">
        <v>383</v>
      </c>
      <c r="DH45" s="111" t="s">
        <v>384</v>
      </c>
      <c r="DI45" s="111"/>
      <c r="DJ45" s="111" t="s">
        <v>383</v>
      </c>
      <c r="DK45" s="111" t="s">
        <v>383</v>
      </c>
      <c r="DL45" s="111" t="s">
        <v>383</v>
      </c>
      <c r="DM45" s="111" t="s">
        <v>384</v>
      </c>
      <c r="DN45" s="111" t="s">
        <v>1434</v>
      </c>
      <c r="DO45" s="111" t="s">
        <v>1435</v>
      </c>
      <c r="DP45" s="111" t="s">
        <v>383</v>
      </c>
      <c r="DQ45" s="111" t="s">
        <v>383</v>
      </c>
      <c r="DR45" s="111" t="s">
        <v>383</v>
      </c>
      <c r="DS45" s="111" t="s">
        <v>383</v>
      </c>
      <c r="DT45" s="111" t="s">
        <v>383</v>
      </c>
      <c r="DU45" s="111" t="s">
        <v>383</v>
      </c>
      <c r="DV45" s="111"/>
      <c r="DW45" s="111" t="s">
        <v>1080</v>
      </c>
      <c r="DX45" s="111"/>
    </row>
    <row r="46" spans="2:128" ht="90">
      <c r="B46" s="72" t="s">
        <v>340</v>
      </c>
      <c r="C46" s="76" t="s">
        <v>186</v>
      </c>
      <c r="D46" s="76" t="s">
        <v>282</v>
      </c>
      <c r="E46" s="76">
        <v>1996</v>
      </c>
      <c r="F46" s="76" t="s">
        <v>381</v>
      </c>
      <c r="G46" s="76" t="s">
        <v>250</v>
      </c>
      <c r="H46" s="127">
        <v>2.6</v>
      </c>
      <c r="I46" s="76"/>
      <c r="J46" s="127" t="s">
        <v>522</v>
      </c>
      <c r="K46" s="76">
        <v>111</v>
      </c>
      <c r="L46" s="76" t="s">
        <v>587</v>
      </c>
      <c r="M46" s="92" t="s">
        <v>1436</v>
      </c>
      <c r="N46" s="141" t="s">
        <v>1569</v>
      </c>
      <c r="O46" s="140" t="s">
        <v>383</v>
      </c>
      <c r="P46" s="140" t="s">
        <v>384</v>
      </c>
      <c r="Q46" s="140" t="s">
        <v>383</v>
      </c>
      <c r="R46" s="140" t="s">
        <v>383</v>
      </c>
      <c r="S46" s="140" t="s">
        <v>383</v>
      </c>
      <c r="T46" s="140" t="s">
        <v>383</v>
      </c>
      <c r="U46" s="140" t="s">
        <v>383</v>
      </c>
      <c r="V46" s="76" t="s">
        <v>588</v>
      </c>
      <c r="W46" s="76">
        <v>1984</v>
      </c>
      <c r="X46" s="76">
        <v>1993</v>
      </c>
      <c r="Y46" s="76">
        <f t="shared" si="4"/>
        <v>9</v>
      </c>
      <c r="Z46" s="76">
        <f t="shared" si="5"/>
        <v>3</v>
      </c>
      <c r="AA46" s="75">
        <v>99</v>
      </c>
      <c r="AB46" s="75">
        <v>7120</v>
      </c>
      <c r="AC46" s="75">
        <v>4682501</v>
      </c>
      <c r="AD46" s="76" t="s">
        <v>589</v>
      </c>
      <c r="AE46" s="76" t="s">
        <v>383</v>
      </c>
      <c r="AF46" s="76" t="s">
        <v>383</v>
      </c>
      <c r="AG46" s="76" t="s">
        <v>383</v>
      </c>
      <c r="AH46" s="76" t="s">
        <v>384</v>
      </c>
      <c r="AI46" s="76" t="s">
        <v>601</v>
      </c>
      <c r="AJ46" s="76" t="s">
        <v>383</v>
      </c>
      <c r="AK46" s="76" t="s">
        <v>392</v>
      </c>
      <c r="AL46" s="76" t="s">
        <v>392</v>
      </c>
      <c r="AM46" s="76"/>
      <c r="AN46" s="76" t="s">
        <v>1437</v>
      </c>
      <c r="AO46" s="111" t="s">
        <v>1146</v>
      </c>
      <c r="AP46" s="121" t="s">
        <v>384</v>
      </c>
      <c r="AQ46" s="121" t="s">
        <v>383</v>
      </c>
      <c r="AR46" s="121" t="s">
        <v>383</v>
      </c>
      <c r="AS46" s="121" t="s">
        <v>383</v>
      </c>
      <c r="AT46" s="121" t="s">
        <v>383</v>
      </c>
      <c r="AU46" s="121" t="s">
        <v>383</v>
      </c>
      <c r="AV46" s="121" t="s">
        <v>383</v>
      </c>
      <c r="AW46" s="76" t="s">
        <v>1132</v>
      </c>
      <c r="AX46" s="120" t="s">
        <v>384</v>
      </c>
      <c r="AY46" s="120" t="s">
        <v>383</v>
      </c>
      <c r="AZ46" s="120" t="s">
        <v>384</v>
      </c>
      <c r="BA46" s="120" t="s">
        <v>384</v>
      </c>
      <c r="BB46" s="120" t="s">
        <v>383</v>
      </c>
      <c r="BC46" s="120" t="s">
        <v>383</v>
      </c>
      <c r="BD46" s="120" t="s">
        <v>383</v>
      </c>
      <c r="BE46" s="76" t="s">
        <v>1438</v>
      </c>
      <c r="BF46" s="76" t="s">
        <v>384</v>
      </c>
      <c r="BG46" s="75" t="s">
        <v>602</v>
      </c>
      <c r="BH46" s="76" t="s">
        <v>590</v>
      </c>
      <c r="BI46" s="75">
        <v>100</v>
      </c>
      <c r="BJ46" s="76" t="s">
        <v>384</v>
      </c>
      <c r="BK46" s="140" t="s">
        <v>1624</v>
      </c>
      <c r="BL46" s="76" t="s">
        <v>591</v>
      </c>
      <c r="BM46" s="76" t="s">
        <v>1439</v>
      </c>
      <c r="BN46" s="76" t="s">
        <v>383</v>
      </c>
      <c r="BO46" s="76" t="s">
        <v>392</v>
      </c>
      <c r="BP46" s="76" t="s">
        <v>392</v>
      </c>
      <c r="BQ46" s="76" t="s">
        <v>392</v>
      </c>
      <c r="BR46" s="76" t="s">
        <v>392</v>
      </c>
      <c r="BS46" s="76" t="s">
        <v>1440</v>
      </c>
      <c r="BT46" s="76" t="s">
        <v>592</v>
      </c>
      <c r="BU46" s="120" t="s">
        <v>383</v>
      </c>
      <c r="BV46" s="120" t="s">
        <v>383</v>
      </c>
      <c r="BW46" s="120" t="s">
        <v>383</v>
      </c>
      <c r="BX46" s="120" t="s">
        <v>383</v>
      </c>
      <c r="BY46" s="120" t="s">
        <v>383</v>
      </c>
      <c r="BZ46" s="120" t="s">
        <v>383</v>
      </c>
      <c r="CA46" s="120" t="s">
        <v>383</v>
      </c>
      <c r="CB46" s="76" t="s">
        <v>383</v>
      </c>
      <c r="CC46" s="76" t="s">
        <v>384</v>
      </c>
      <c r="CD46" s="76" t="s">
        <v>593</v>
      </c>
      <c r="CE46" s="76" t="s">
        <v>384</v>
      </c>
      <c r="CF46" s="76" t="s">
        <v>603</v>
      </c>
      <c r="CG46" s="121" t="s">
        <v>384</v>
      </c>
      <c r="CH46" s="121" t="s">
        <v>383</v>
      </c>
      <c r="CI46" s="121" t="s">
        <v>383</v>
      </c>
      <c r="CJ46" s="121" t="s">
        <v>383</v>
      </c>
      <c r="CK46" s="121" t="s">
        <v>384</v>
      </c>
      <c r="CL46" s="76" t="s">
        <v>384</v>
      </c>
      <c r="CM46" s="75" t="s">
        <v>384</v>
      </c>
      <c r="CN46" s="121" t="s">
        <v>383</v>
      </c>
      <c r="CO46" s="121" t="s">
        <v>383</v>
      </c>
      <c r="CP46" s="121" t="s">
        <v>383</v>
      </c>
      <c r="CQ46" s="121" t="s">
        <v>383</v>
      </c>
      <c r="CR46" s="76" t="s">
        <v>383</v>
      </c>
      <c r="CS46" s="76" t="s">
        <v>383</v>
      </c>
      <c r="CT46" s="120" t="s">
        <v>383</v>
      </c>
      <c r="CU46" s="120" t="s">
        <v>383</v>
      </c>
      <c r="CV46" s="120" t="s">
        <v>383</v>
      </c>
      <c r="CW46" s="75" t="s">
        <v>383</v>
      </c>
      <c r="CX46" s="76" t="s">
        <v>383</v>
      </c>
      <c r="CY46" s="76" t="s">
        <v>383</v>
      </c>
      <c r="CZ46" s="76" t="s">
        <v>1095</v>
      </c>
      <c r="DA46" s="76" t="s">
        <v>383</v>
      </c>
      <c r="DB46" s="76" t="s">
        <v>384</v>
      </c>
      <c r="DC46" s="76" t="s">
        <v>383</v>
      </c>
      <c r="DD46" s="76" t="s">
        <v>384</v>
      </c>
      <c r="DE46" s="76" t="s">
        <v>384</v>
      </c>
      <c r="DF46" s="76" t="s">
        <v>383</v>
      </c>
      <c r="DG46" s="76" t="s">
        <v>384</v>
      </c>
      <c r="DH46" s="76" t="s">
        <v>383</v>
      </c>
      <c r="DI46" s="76" t="s">
        <v>1068</v>
      </c>
      <c r="DJ46" s="76" t="s">
        <v>384</v>
      </c>
      <c r="DK46" s="76" t="s">
        <v>383</v>
      </c>
      <c r="DL46" s="75" t="s">
        <v>383</v>
      </c>
      <c r="DM46" s="75" t="s">
        <v>383</v>
      </c>
      <c r="DN46" s="76" t="s">
        <v>594</v>
      </c>
      <c r="DO46" s="76" t="s">
        <v>1082</v>
      </c>
      <c r="DP46" s="76" t="s">
        <v>383</v>
      </c>
      <c r="DQ46" s="76" t="s">
        <v>383</v>
      </c>
      <c r="DR46" s="76" t="s">
        <v>384</v>
      </c>
      <c r="DS46" s="76" t="s">
        <v>383</v>
      </c>
      <c r="DT46" s="76" t="s">
        <v>383</v>
      </c>
      <c r="DU46" s="76" t="s">
        <v>383</v>
      </c>
      <c r="DV46" s="76" t="s">
        <v>1441</v>
      </c>
      <c r="DW46" s="111"/>
      <c r="DX46" s="76"/>
    </row>
    <row r="47" spans="2:128" ht="195">
      <c r="B47" s="72" t="s">
        <v>324</v>
      </c>
      <c r="C47" s="111" t="s">
        <v>170</v>
      </c>
      <c r="D47" s="111" t="s">
        <v>276</v>
      </c>
      <c r="E47" s="111">
        <v>2016</v>
      </c>
      <c r="F47" s="111" t="s">
        <v>381</v>
      </c>
      <c r="G47" s="111" t="s">
        <v>236</v>
      </c>
      <c r="H47" s="127">
        <v>8.3000000000000007</v>
      </c>
      <c r="I47" s="111" t="s">
        <v>720</v>
      </c>
      <c r="J47" s="128" t="s">
        <v>522</v>
      </c>
      <c r="K47" s="111">
        <v>613</v>
      </c>
      <c r="L47" s="111" t="s">
        <v>911</v>
      </c>
      <c r="M47" s="113" t="s">
        <v>1442</v>
      </c>
      <c r="N47" s="141" t="s">
        <v>1589</v>
      </c>
      <c r="O47" s="140" t="s">
        <v>384</v>
      </c>
      <c r="P47" s="140" t="s">
        <v>384</v>
      </c>
      <c r="Q47" s="140" t="s">
        <v>383</v>
      </c>
      <c r="R47" s="140" t="s">
        <v>384</v>
      </c>
      <c r="S47" s="140" t="s">
        <v>383</v>
      </c>
      <c r="T47" s="140" t="s">
        <v>383</v>
      </c>
      <c r="U47" s="140" t="s">
        <v>384</v>
      </c>
      <c r="V47" s="111" t="s">
        <v>588</v>
      </c>
      <c r="W47" s="111">
        <v>1982</v>
      </c>
      <c r="X47" s="111">
        <v>2011</v>
      </c>
      <c r="Y47" s="111">
        <f t="shared" si="4"/>
        <v>29</v>
      </c>
      <c r="Z47" s="111">
        <f t="shared" si="5"/>
        <v>5</v>
      </c>
      <c r="AA47" s="111">
        <v>19</v>
      </c>
      <c r="AB47" s="111">
        <v>882</v>
      </c>
      <c r="AC47" s="111">
        <v>78016</v>
      </c>
      <c r="AD47" s="111" t="s">
        <v>1007</v>
      </c>
      <c r="AE47" s="111" t="s">
        <v>383</v>
      </c>
      <c r="AF47" s="111" t="s">
        <v>383</v>
      </c>
      <c r="AG47" s="111" t="s">
        <v>384</v>
      </c>
      <c r="AH47" s="111" t="s">
        <v>384</v>
      </c>
      <c r="AI47" s="111" t="s">
        <v>1443</v>
      </c>
      <c r="AJ47" s="111" t="s">
        <v>384</v>
      </c>
      <c r="AK47" s="111" t="s">
        <v>392</v>
      </c>
      <c r="AL47" s="111" t="s">
        <v>392</v>
      </c>
      <c r="AM47" s="111">
        <v>100</v>
      </c>
      <c r="AN47" s="111" t="s">
        <v>1444</v>
      </c>
      <c r="AO47" s="111" t="s">
        <v>1145</v>
      </c>
      <c r="AP47" s="121" t="s">
        <v>384</v>
      </c>
      <c r="AQ47" s="121" t="s">
        <v>383</v>
      </c>
      <c r="AR47" s="121" t="s">
        <v>384</v>
      </c>
      <c r="AS47" s="121" t="s">
        <v>383</v>
      </c>
      <c r="AT47" s="121" t="s">
        <v>383</v>
      </c>
      <c r="AU47" s="121" t="s">
        <v>383</v>
      </c>
      <c r="AV47" s="121" t="s">
        <v>383</v>
      </c>
      <c r="AW47" s="111" t="s">
        <v>1133</v>
      </c>
      <c r="AX47" s="121" t="s">
        <v>383</v>
      </c>
      <c r="AY47" s="121" t="s">
        <v>384</v>
      </c>
      <c r="AZ47" s="121" t="s">
        <v>384</v>
      </c>
      <c r="BA47" s="121" t="s">
        <v>384</v>
      </c>
      <c r="BB47" s="121" t="s">
        <v>383</v>
      </c>
      <c r="BC47" s="121" t="s">
        <v>384</v>
      </c>
      <c r="BD47" s="121" t="s">
        <v>383</v>
      </c>
      <c r="BE47" s="111" t="s">
        <v>383</v>
      </c>
      <c r="BF47" s="111" t="s">
        <v>568</v>
      </c>
      <c r="BG47" s="111" t="s">
        <v>392</v>
      </c>
      <c r="BH47" s="111" t="s">
        <v>391</v>
      </c>
      <c r="BI47" s="111"/>
      <c r="BJ47" s="111" t="s">
        <v>384</v>
      </c>
      <c r="BK47" s="141" t="s">
        <v>1621</v>
      </c>
      <c r="BL47" s="111" t="s">
        <v>392</v>
      </c>
      <c r="BM47" s="111" t="s">
        <v>392</v>
      </c>
      <c r="BN47" s="111" t="s">
        <v>384</v>
      </c>
      <c r="BO47" s="111" t="s">
        <v>479</v>
      </c>
      <c r="BP47" s="111" t="s">
        <v>925</v>
      </c>
      <c r="BQ47" s="111" t="s">
        <v>432</v>
      </c>
      <c r="BR47" s="111" t="s">
        <v>386</v>
      </c>
      <c r="BS47" s="111" t="s">
        <v>1445</v>
      </c>
      <c r="BT47" s="111" t="s">
        <v>736</v>
      </c>
      <c r="BU47" s="121" t="s">
        <v>383</v>
      </c>
      <c r="BV47" s="121" t="s">
        <v>383</v>
      </c>
      <c r="BW47" s="121" t="s">
        <v>384</v>
      </c>
      <c r="BX47" s="121" t="s">
        <v>383</v>
      </c>
      <c r="BY47" s="121" t="s">
        <v>383</v>
      </c>
      <c r="BZ47" s="121" t="s">
        <v>383</v>
      </c>
      <c r="CA47" s="121" t="s">
        <v>383</v>
      </c>
      <c r="CB47" s="111" t="s">
        <v>383</v>
      </c>
      <c r="CC47" s="111" t="s">
        <v>383</v>
      </c>
      <c r="CD47" s="111" t="s">
        <v>392</v>
      </c>
      <c r="CE47" s="111" t="s">
        <v>384</v>
      </c>
      <c r="CF47" s="111" t="s">
        <v>928</v>
      </c>
      <c r="CG47" s="121" t="s">
        <v>384</v>
      </c>
      <c r="CH47" s="121" t="s">
        <v>383</v>
      </c>
      <c r="CI47" s="121" t="s">
        <v>384</v>
      </c>
      <c r="CJ47" s="121" t="s">
        <v>383</v>
      </c>
      <c r="CK47" s="121" t="s">
        <v>383</v>
      </c>
      <c r="CL47" s="111" t="s">
        <v>384</v>
      </c>
      <c r="CM47" s="111" t="s">
        <v>927</v>
      </c>
      <c r="CN47" s="121" t="s">
        <v>384</v>
      </c>
      <c r="CO47" s="121" t="s">
        <v>384</v>
      </c>
      <c r="CP47" s="121" t="s">
        <v>383</v>
      </c>
      <c r="CQ47" s="121" t="s">
        <v>383</v>
      </c>
      <c r="CR47" s="111" t="s">
        <v>384</v>
      </c>
      <c r="CS47" s="111" t="s">
        <v>440</v>
      </c>
      <c r="CT47" s="121" t="s">
        <v>384</v>
      </c>
      <c r="CU47" s="121" t="s">
        <v>383</v>
      </c>
      <c r="CV47" s="121" t="s">
        <v>383</v>
      </c>
      <c r="CW47" s="111" t="s">
        <v>384</v>
      </c>
      <c r="CX47" s="111" t="s">
        <v>383</v>
      </c>
      <c r="CY47" s="111" t="s">
        <v>383</v>
      </c>
      <c r="CZ47" s="111" t="s">
        <v>926</v>
      </c>
      <c r="DA47" s="111" t="s">
        <v>383</v>
      </c>
      <c r="DB47" s="111" t="s">
        <v>383</v>
      </c>
      <c r="DC47" s="111" t="s">
        <v>383</v>
      </c>
      <c r="DD47" s="111" t="s">
        <v>383</v>
      </c>
      <c r="DE47" s="111" t="s">
        <v>384</v>
      </c>
      <c r="DF47" s="111" t="s">
        <v>384</v>
      </c>
      <c r="DG47" s="111" t="s">
        <v>384</v>
      </c>
      <c r="DH47" s="111" t="s">
        <v>384</v>
      </c>
      <c r="DI47" s="111"/>
      <c r="DJ47" s="111" t="s">
        <v>383</v>
      </c>
      <c r="DK47" s="111" t="s">
        <v>383</v>
      </c>
      <c r="DL47" s="111" t="s">
        <v>383</v>
      </c>
      <c r="DM47" s="111" t="s">
        <v>383</v>
      </c>
      <c r="DN47" s="111" t="s">
        <v>1446</v>
      </c>
      <c r="DO47" s="111" t="s">
        <v>1447</v>
      </c>
      <c r="DP47" s="111" t="s">
        <v>383</v>
      </c>
      <c r="DQ47" s="111" t="s">
        <v>383</v>
      </c>
      <c r="DR47" s="111" t="s">
        <v>383</v>
      </c>
      <c r="DS47" s="111" t="s">
        <v>383</v>
      </c>
      <c r="DT47" s="111" t="s">
        <v>383</v>
      </c>
      <c r="DU47" s="111" t="s">
        <v>383</v>
      </c>
      <c r="DV47" s="111"/>
      <c r="DW47" s="111"/>
      <c r="DX47" s="111" t="s">
        <v>1448</v>
      </c>
    </row>
    <row r="48" spans="2:128" ht="75">
      <c r="B48" s="72" t="s">
        <v>361</v>
      </c>
      <c r="C48" s="111" t="s">
        <v>207</v>
      </c>
      <c r="D48" s="111" t="s">
        <v>308</v>
      </c>
      <c r="E48" s="111">
        <v>2017</v>
      </c>
      <c r="F48" s="111" t="s">
        <v>381</v>
      </c>
      <c r="G48" s="111" t="s">
        <v>265</v>
      </c>
      <c r="H48" s="127">
        <v>3.1</v>
      </c>
      <c r="I48" s="111" t="s">
        <v>628</v>
      </c>
      <c r="J48" s="128" t="s">
        <v>1230</v>
      </c>
      <c r="K48" s="111">
        <v>465</v>
      </c>
      <c r="L48" s="111" t="s">
        <v>958</v>
      </c>
      <c r="M48" s="113" t="s">
        <v>1449</v>
      </c>
      <c r="N48" s="141" t="s">
        <v>1577</v>
      </c>
      <c r="O48" s="140" t="s">
        <v>383</v>
      </c>
      <c r="P48" s="140" t="s">
        <v>384</v>
      </c>
      <c r="Q48" s="140" t="s">
        <v>383</v>
      </c>
      <c r="R48" s="140" t="s">
        <v>384</v>
      </c>
      <c r="S48" s="140" t="s">
        <v>383</v>
      </c>
      <c r="T48" s="140" t="s">
        <v>383</v>
      </c>
      <c r="U48" s="140" t="s">
        <v>383</v>
      </c>
      <c r="V48" s="111" t="s">
        <v>588</v>
      </c>
      <c r="W48" s="111">
        <v>1998</v>
      </c>
      <c r="X48" s="111">
        <v>2016</v>
      </c>
      <c r="Y48" s="111">
        <f t="shared" si="4"/>
        <v>18</v>
      </c>
      <c r="Z48" s="111">
        <f t="shared" si="5"/>
        <v>1</v>
      </c>
      <c r="AA48" s="111">
        <v>36</v>
      </c>
      <c r="AB48" s="111">
        <v>150</v>
      </c>
      <c r="AC48" s="111">
        <v>500000</v>
      </c>
      <c r="AD48" s="111" t="s">
        <v>1000</v>
      </c>
      <c r="AE48" s="111" t="s">
        <v>383</v>
      </c>
      <c r="AF48" s="111" t="s">
        <v>383</v>
      </c>
      <c r="AG48" s="111" t="s">
        <v>383</v>
      </c>
      <c r="AH48" s="111" t="s">
        <v>384</v>
      </c>
      <c r="AI48" s="111" t="s">
        <v>959</v>
      </c>
      <c r="AJ48" s="111" t="s">
        <v>383</v>
      </c>
      <c r="AK48" s="111" t="s">
        <v>392</v>
      </c>
      <c r="AL48" s="111" t="s">
        <v>392</v>
      </c>
      <c r="AM48" s="111"/>
      <c r="AN48" s="111" t="s">
        <v>1450</v>
      </c>
      <c r="AO48" s="111" t="s">
        <v>1185</v>
      </c>
      <c r="AP48" s="121" t="s">
        <v>383</v>
      </c>
      <c r="AQ48" s="121" t="s">
        <v>383</v>
      </c>
      <c r="AR48" s="121" t="s">
        <v>383</v>
      </c>
      <c r="AS48" s="121" t="s">
        <v>383</v>
      </c>
      <c r="AT48" s="121" t="s">
        <v>384</v>
      </c>
      <c r="AU48" s="121" t="s">
        <v>383</v>
      </c>
      <c r="AV48" s="121" t="s">
        <v>383</v>
      </c>
      <c r="AW48" s="111" t="s">
        <v>1134</v>
      </c>
      <c r="AX48" s="121" t="s">
        <v>384</v>
      </c>
      <c r="AY48" s="121" t="s">
        <v>383</v>
      </c>
      <c r="AZ48" s="121" t="s">
        <v>384</v>
      </c>
      <c r="BA48" s="121" t="s">
        <v>383</v>
      </c>
      <c r="BB48" s="121" t="s">
        <v>384</v>
      </c>
      <c r="BC48" s="121" t="s">
        <v>383</v>
      </c>
      <c r="BD48" s="121" t="s">
        <v>383</v>
      </c>
      <c r="BE48" s="111" t="s">
        <v>383</v>
      </c>
      <c r="BF48" s="111" t="s">
        <v>384</v>
      </c>
      <c r="BG48" s="111" t="s">
        <v>385</v>
      </c>
      <c r="BH48" s="111" t="s">
        <v>960</v>
      </c>
      <c r="BI48" s="111">
        <v>100</v>
      </c>
      <c r="BJ48" s="111" t="s">
        <v>384</v>
      </c>
      <c r="BK48" s="140" t="s">
        <v>1622</v>
      </c>
      <c r="BL48" s="111" t="s">
        <v>663</v>
      </c>
      <c r="BM48" s="111" t="s">
        <v>1451</v>
      </c>
      <c r="BN48" s="111" t="s">
        <v>384</v>
      </c>
      <c r="BO48" s="111" t="s">
        <v>549</v>
      </c>
      <c r="BP48" s="111" t="s">
        <v>392</v>
      </c>
      <c r="BQ48" s="111" t="s">
        <v>432</v>
      </c>
      <c r="BR48" s="111" t="s">
        <v>386</v>
      </c>
      <c r="BS48" s="111" t="s">
        <v>1452</v>
      </c>
      <c r="BT48" s="111" t="s">
        <v>961</v>
      </c>
      <c r="BU48" s="121" t="s">
        <v>383</v>
      </c>
      <c r="BV48" s="121" t="s">
        <v>383</v>
      </c>
      <c r="BW48" s="121" t="s">
        <v>383</v>
      </c>
      <c r="BX48" s="121" t="s">
        <v>383</v>
      </c>
      <c r="BY48" s="121" t="s">
        <v>383</v>
      </c>
      <c r="BZ48" s="121" t="s">
        <v>383</v>
      </c>
      <c r="CA48" s="121" t="s">
        <v>384</v>
      </c>
      <c r="CB48" s="111" t="s">
        <v>384</v>
      </c>
      <c r="CC48" s="111" t="s">
        <v>384</v>
      </c>
      <c r="CD48" s="111" t="s">
        <v>1045</v>
      </c>
      <c r="CE48" s="111" t="s">
        <v>383</v>
      </c>
      <c r="CF48" s="111" t="s">
        <v>383</v>
      </c>
      <c r="CG48" s="121" t="s">
        <v>383</v>
      </c>
      <c r="CH48" s="121" t="s">
        <v>383</v>
      </c>
      <c r="CI48" s="121" t="s">
        <v>383</v>
      </c>
      <c r="CJ48" s="121" t="s">
        <v>383</v>
      </c>
      <c r="CK48" s="121" t="s">
        <v>383</v>
      </c>
      <c r="CL48" s="111" t="s">
        <v>383</v>
      </c>
      <c r="CM48" s="111" t="s">
        <v>383</v>
      </c>
      <c r="CN48" s="121" t="s">
        <v>383</v>
      </c>
      <c r="CO48" s="121" t="s">
        <v>383</v>
      </c>
      <c r="CP48" s="121" t="s">
        <v>383</v>
      </c>
      <c r="CQ48" s="121" t="s">
        <v>383</v>
      </c>
      <c r="CR48" s="111" t="s">
        <v>384</v>
      </c>
      <c r="CS48" s="111" t="s">
        <v>440</v>
      </c>
      <c r="CT48" s="121" t="s">
        <v>384</v>
      </c>
      <c r="CU48" s="121" t="s">
        <v>383</v>
      </c>
      <c r="CV48" s="121" t="s">
        <v>383</v>
      </c>
      <c r="CW48" s="111" t="s">
        <v>383</v>
      </c>
      <c r="CX48" s="111" t="s">
        <v>383</v>
      </c>
      <c r="CY48" s="111" t="s">
        <v>383</v>
      </c>
      <c r="CZ48" s="111" t="s">
        <v>392</v>
      </c>
      <c r="DA48" s="111" t="s">
        <v>384</v>
      </c>
      <c r="DB48" s="111" t="s">
        <v>383</v>
      </c>
      <c r="DC48" s="111" t="s">
        <v>383</v>
      </c>
      <c r="DD48" s="111" t="s">
        <v>384</v>
      </c>
      <c r="DE48" s="111" t="s">
        <v>384</v>
      </c>
      <c r="DF48" s="111" t="s">
        <v>384</v>
      </c>
      <c r="DG48" s="111" t="s">
        <v>384</v>
      </c>
      <c r="DH48" s="111" t="s">
        <v>383</v>
      </c>
      <c r="DI48" s="111" t="s">
        <v>1069</v>
      </c>
      <c r="DJ48" s="111" t="s">
        <v>383</v>
      </c>
      <c r="DK48" s="111" t="s">
        <v>383</v>
      </c>
      <c r="DL48" s="111" t="s">
        <v>383</v>
      </c>
      <c r="DM48" s="111" t="s">
        <v>383</v>
      </c>
      <c r="DN48" s="111"/>
      <c r="DO48" s="111"/>
      <c r="DP48" s="111" t="s">
        <v>383</v>
      </c>
      <c r="DQ48" s="111" t="s">
        <v>383</v>
      </c>
      <c r="DR48" s="111" t="s">
        <v>383</v>
      </c>
      <c r="DS48" s="111" t="s">
        <v>383</v>
      </c>
      <c r="DT48" s="111" t="s">
        <v>383</v>
      </c>
      <c r="DU48" s="111" t="s">
        <v>383</v>
      </c>
      <c r="DV48" s="111"/>
      <c r="DW48" s="111"/>
      <c r="DX48" s="111"/>
    </row>
    <row r="49" spans="2:128" ht="45">
      <c r="B49" s="72" t="s">
        <v>325</v>
      </c>
      <c r="C49" s="76" t="s">
        <v>171</v>
      </c>
      <c r="D49" s="76" t="s">
        <v>277</v>
      </c>
      <c r="E49" s="76">
        <v>2011</v>
      </c>
      <c r="F49" s="76" t="s">
        <v>381</v>
      </c>
      <c r="G49" s="76" t="s">
        <v>236</v>
      </c>
      <c r="H49" s="127">
        <v>8.3000000000000007</v>
      </c>
      <c r="I49" s="76" t="s">
        <v>522</v>
      </c>
      <c r="J49" s="127" t="s">
        <v>522</v>
      </c>
      <c r="K49" s="76">
        <v>1762</v>
      </c>
      <c r="L49" s="76" t="s">
        <v>536</v>
      </c>
      <c r="M49" s="113" t="s">
        <v>1453</v>
      </c>
      <c r="N49" s="141" t="s">
        <v>1569</v>
      </c>
      <c r="O49" s="140" t="s">
        <v>383</v>
      </c>
      <c r="P49" s="140" t="s">
        <v>384</v>
      </c>
      <c r="Q49" s="140" t="s">
        <v>383</v>
      </c>
      <c r="R49" s="140" t="s">
        <v>383</v>
      </c>
      <c r="S49" s="140" t="s">
        <v>383</v>
      </c>
      <c r="T49" s="140" t="s">
        <v>383</v>
      </c>
      <c r="U49" s="140" t="s">
        <v>383</v>
      </c>
      <c r="V49" s="76" t="s">
        <v>546</v>
      </c>
      <c r="W49" s="76">
        <v>1988</v>
      </c>
      <c r="X49" s="75">
        <v>2007</v>
      </c>
      <c r="Y49" s="76">
        <f t="shared" si="4"/>
        <v>19</v>
      </c>
      <c r="Z49" s="76">
        <f t="shared" si="5"/>
        <v>4</v>
      </c>
      <c r="AA49" s="76">
        <v>25</v>
      </c>
      <c r="AB49" s="76">
        <v>1055</v>
      </c>
      <c r="AC49" s="76">
        <v>109700</v>
      </c>
      <c r="AD49" s="76" t="s">
        <v>1008</v>
      </c>
      <c r="AE49" s="76" t="s">
        <v>383</v>
      </c>
      <c r="AF49" s="76" t="s">
        <v>383</v>
      </c>
      <c r="AG49" s="76" t="s">
        <v>384</v>
      </c>
      <c r="AH49" s="76" t="s">
        <v>384</v>
      </c>
      <c r="AI49" s="76" t="s">
        <v>1454</v>
      </c>
      <c r="AJ49" s="76" t="s">
        <v>384</v>
      </c>
      <c r="AK49" s="76" t="s">
        <v>547</v>
      </c>
      <c r="AL49" s="111" t="s">
        <v>572</v>
      </c>
      <c r="AM49" s="111">
        <v>54.5</v>
      </c>
      <c r="AN49" s="75" t="s">
        <v>578</v>
      </c>
      <c r="AO49" s="76" t="s">
        <v>1187</v>
      </c>
      <c r="AP49" s="120" t="s">
        <v>383</v>
      </c>
      <c r="AQ49" s="120" t="s">
        <v>384</v>
      </c>
      <c r="AR49" s="120" t="s">
        <v>383</v>
      </c>
      <c r="AS49" s="120" t="s">
        <v>383</v>
      </c>
      <c r="AT49" s="120" t="s">
        <v>383</v>
      </c>
      <c r="AU49" s="120" t="s">
        <v>383</v>
      </c>
      <c r="AV49" s="120" t="s">
        <v>383</v>
      </c>
      <c r="AW49" s="76" t="s">
        <v>1135</v>
      </c>
      <c r="AX49" s="120" t="s">
        <v>384</v>
      </c>
      <c r="AY49" s="120" t="s">
        <v>384</v>
      </c>
      <c r="AZ49" s="120" t="s">
        <v>384</v>
      </c>
      <c r="BA49" s="120" t="s">
        <v>383</v>
      </c>
      <c r="BB49" s="120" t="s">
        <v>383</v>
      </c>
      <c r="BC49" s="120" t="s">
        <v>384</v>
      </c>
      <c r="BD49" s="120" t="s">
        <v>383</v>
      </c>
      <c r="BE49" s="76" t="s">
        <v>383</v>
      </c>
      <c r="BF49" s="76" t="s">
        <v>384</v>
      </c>
      <c r="BG49" s="76" t="s">
        <v>1017</v>
      </c>
      <c r="BH49" s="76" t="s">
        <v>548</v>
      </c>
      <c r="BI49" s="76">
        <v>100</v>
      </c>
      <c r="BJ49" s="76" t="s">
        <v>384</v>
      </c>
      <c r="BK49" s="140" t="s">
        <v>1623</v>
      </c>
      <c r="BL49" s="76" t="s">
        <v>1455</v>
      </c>
      <c r="BM49" s="76" t="s">
        <v>402</v>
      </c>
      <c r="BN49" s="76" t="s">
        <v>384</v>
      </c>
      <c r="BO49" s="76" t="s">
        <v>549</v>
      </c>
      <c r="BP49" s="76" t="s">
        <v>550</v>
      </c>
      <c r="BQ49" s="76" t="s">
        <v>579</v>
      </c>
      <c r="BR49" s="76" t="s">
        <v>386</v>
      </c>
      <c r="BS49" s="76" t="s">
        <v>1036</v>
      </c>
      <c r="BT49" s="76" t="s">
        <v>941</v>
      </c>
      <c r="BU49" s="120" t="s">
        <v>384</v>
      </c>
      <c r="BV49" s="120" t="s">
        <v>384</v>
      </c>
      <c r="BW49" s="120" t="s">
        <v>383</v>
      </c>
      <c r="BX49" s="120" t="s">
        <v>383</v>
      </c>
      <c r="BY49" s="120" t="s">
        <v>383</v>
      </c>
      <c r="BZ49" s="120" t="s">
        <v>383</v>
      </c>
      <c r="CA49" s="120" t="s">
        <v>383</v>
      </c>
      <c r="CB49" s="76" t="s">
        <v>383</v>
      </c>
      <c r="CC49" s="76" t="s">
        <v>383</v>
      </c>
      <c r="CD49" s="76" t="s">
        <v>383</v>
      </c>
      <c r="CE49" s="76" t="s">
        <v>384</v>
      </c>
      <c r="CF49" s="76" t="s">
        <v>553</v>
      </c>
      <c r="CG49" s="121" t="s">
        <v>384</v>
      </c>
      <c r="CH49" s="121" t="s">
        <v>383</v>
      </c>
      <c r="CI49" s="121" t="s">
        <v>383</v>
      </c>
      <c r="CJ49" s="121" t="s">
        <v>383</v>
      </c>
      <c r="CK49" s="121" t="s">
        <v>383</v>
      </c>
      <c r="CL49" s="76" t="s">
        <v>384</v>
      </c>
      <c r="CM49" s="76" t="s">
        <v>552</v>
      </c>
      <c r="CN49" s="120" t="s">
        <v>384</v>
      </c>
      <c r="CO49" s="120" t="s">
        <v>384</v>
      </c>
      <c r="CP49" s="120" t="s">
        <v>383</v>
      </c>
      <c r="CQ49" s="120" t="s">
        <v>383</v>
      </c>
      <c r="CR49" s="76" t="s">
        <v>384</v>
      </c>
      <c r="CS49" s="76" t="s">
        <v>440</v>
      </c>
      <c r="CT49" s="120" t="s">
        <v>384</v>
      </c>
      <c r="CU49" s="120" t="s">
        <v>383</v>
      </c>
      <c r="CV49" s="120" t="s">
        <v>383</v>
      </c>
      <c r="CW49" s="76" t="s">
        <v>568</v>
      </c>
      <c r="CX49" s="76" t="s">
        <v>383</v>
      </c>
      <c r="CY49" s="76" t="s">
        <v>383</v>
      </c>
      <c r="CZ49" s="76" t="s">
        <v>551</v>
      </c>
      <c r="DA49" s="76" t="s">
        <v>383</v>
      </c>
      <c r="DB49" s="76" t="s">
        <v>383</v>
      </c>
      <c r="DC49" s="76" t="s">
        <v>383</v>
      </c>
      <c r="DD49" s="76" t="s">
        <v>383</v>
      </c>
      <c r="DE49" s="76" t="s">
        <v>384</v>
      </c>
      <c r="DF49" s="76" t="s">
        <v>383</v>
      </c>
      <c r="DG49" s="76" t="s">
        <v>384</v>
      </c>
      <c r="DH49" s="76" t="s">
        <v>384</v>
      </c>
      <c r="DI49" s="76"/>
      <c r="DJ49" s="76" t="s">
        <v>383</v>
      </c>
      <c r="DK49" s="76" t="s">
        <v>383</v>
      </c>
      <c r="DL49" s="76" t="s">
        <v>383</v>
      </c>
      <c r="DM49" s="76" t="s">
        <v>383</v>
      </c>
      <c r="DN49" s="76"/>
      <c r="DO49" s="111"/>
      <c r="DP49" s="76" t="s">
        <v>383</v>
      </c>
      <c r="DQ49" s="76" t="s">
        <v>383</v>
      </c>
      <c r="DR49" s="76" t="s">
        <v>383</v>
      </c>
      <c r="DS49" s="76" t="s">
        <v>384</v>
      </c>
      <c r="DT49" s="76" t="s">
        <v>383</v>
      </c>
      <c r="DU49" s="76" t="s">
        <v>384</v>
      </c>
      <c r="DV49" s="76" t="s">
        <v>1456</v>
      </c>
      <c r="DW49" s="111" t="s">
        <v>1081</v>
      </c>
      <c r="DX49" s="76"/>
    </row>
    <row r="50" spans="2:128" ht="135">
      <c r="B50" s="76" t="s">
        <v>330</v>
      </c>
      <c r="C50" s="76" t="s">
        <v>176</v>
      </c>
      <c r="D50" s="76" t="s">
        <v>454</v>
      </c>
      <c r="E50" s="76">
        <v>2022</v>
      </c>
      <c r="F50" s="76" t="s">
        <v>381</v>
      </c>
      <c r="G50" s="76" t="s">
        <v>241</v>
      </c>
      <c r="H50" s="127">
        <v>2.7</v>
      </c>
      <c r="I50" s="76" t="s">
        <v>382</v>
      </c>
      <c r="J50" s="127" t="s">
        <v>522</v>
      </c>
      <c r="K50" s="76">
        <v>71</v>
      </c>
      <c r="L50" s="76" t="s">
        <v>399</v>
      </c>
      <c r="M50" s="92" t="s">
        <v>1457</v>
      </c>
      <c r="N50" s="141" t="s">
        <v>1575</v>
      </c>
      <c r="O50" s="140" t="s">
        <v>383</v>
      </c>
      <c r="P50" s="140" t="s">
        <v>384</v>
      </c>
      <c r="Q50" s="140" t="s">
        <v>384</v>
      </c>
      <c r="R50" s="140" t="s">
        <v>383</v>
      </c>
      <c r="S50" s="140" t="s">
        <v>383</v>
      </c>
      <c r="T50" s="140" t="s">
        <v>383</v>
      </c>
      <c r="U50" s="140" t="s">
        <v>383</v>
      </c>
      <c r="V50" s="76" t="s">
        <v>400</v>
      </c>
      <c r="W50" s="76">
        <v>2003</v>
      </c>
      <c r="X50" s="76">
        <v>2019</v>
      </c>
      <c r="Y50" s="76">
        <f t="shared" si="4"/>
        <v>16</v>
      </c>
      <c r="Z50" s="76">
        <f t="shared" si="5"/>
        <v>3</v>
      </c>
      <c r="AA50" s="76">
        <v>12</v>
      </c>
      <c r="AB50" s="76">
        <v>512</v>
      </c>
      <c r="AC50" s="75"/>
      <c r="AD50" s="76" t="s">
        <v>1009</v>
      </c>
      <c r="AE50" s="76" t="s">
        <v>383</v>
      </c>
      <c r="AF50" s="76" t="s">
        <v>383</v>
      </c>
      <c r="AG50" s="76" t="s">
        <v>384</v>
      </c>
      <c r="AH50" s="76" t="s">
        <v>384</v>
      </c>
      <c r="AI50" s="76" t="s">
        <v>395</v>
      </c>
      <c r="AJ50" s="76" t="s">
        <v>383</v>
      </c>
      <c r="AK50" s="76" t="s">
        <v>392</v>
      </c>
      <c r="AL50" s="76" t="s">
        <v>392</v>
      </c>
      <c r="AM50" s="78"/>
      <c r="AN50" s="76" t="s">
        <v>1458</v>
      </c>
      <c r="AO50" s="76" t="s">
        <v>392</v>
      </c>
      <c r="AP50" s="120" t="s">
        <v>383</v>
      </c>
      <c r="AQ50" s="120" t="s">
        <v>383</v>
      </c>
      <c r="AR50" s="120" t="s">
        <v>383</v>
      </c>
      <c r="AS50" s="120" t="s">
        <v>383</v>
      </c>
      <c r="AT50" s="120" t="s">
        <v>383</v>
      </c>
      <c r="AU50" s="120" t="s">
        <v>383</v>
      </c>
      <c r="AV50" s="120" t="s">
        <v>383</v>
      </c>
      <c r="AW50" s="76" t="s">
        <v>1136</v>
      </c>
      <c r="AX50" s="120" t="s">
        <v>384</v>
      </c>
      <c r="AY50" s="120" t="s">
        <v>383</v>
      </c>
      <c r="AZ50" s="120" t="s">
        <v>383</v>
      </c>
      <c r="BA50" s="120" t="s">
        <v>383</v>
      </c>
      <c r="BB50" s="120" t="s">
        <v>383</v>
      </c>
      <c r="BC50" s="120" t="s">
        <v>383</v>
      </c>
      <c r="BD50" s="120" t="s">
        <v>383</v>
      </c>
      <c r="BE50" s="76" t="s">
        <v>383</v>
      </c>
      <c r="BF50" s="76" t="s">
        <v>384</v>
      </c>
      <c r="BG50" s="76" t="s">
        <v>385</v>
      </c>
      <c r="BH50" s="75" t="s">
        <v>401</v>
      </c>
      <c r="BI50" s="76">
        <v>100</v>
      </c>
      <c r="BJ50" s="76" t="s">
        <v>384</v>
      </c>
      <c r="BK50" s="140" t="s">
        <v>1625</v>
      </c>
      <c r="BL50" s="76" t="s">
        <v>1459</v>
      </c>
      <c r="BM50" s="76" t="s">
        <v>402</v>
      </c>
      <c r="BN50" s="76" t="s">
        <v>384</v>
      </c>
      <c r="BO50" s="111" t="s">
        <v>479</v>
      </c>
      <c r="BP50" s="76" t="s">
        <v>405</v>
      </c>
      <c r="BQ50" s="76" t="s">
        <v>406</v>
      </c>
      <c r="BR50" s="76" t="s">
        <v>386</v>
      </c>
      <c r="BS50" s="76" t="s">
        <v>1460</v>
      </c>
      <c r="BT50" s="76" t="s">
        <v>438</v>
      </c>
      <c r="BU50" s="120" t="s">
        <v>384</v>
      </c>
      <c r="BV50" s="120" t="s">
        <v>383</v>
      </c>
      <c r="BW50" s="120" t="s">
        <v>383</v>
      </c>
      <c r="BX50" s="120" t="s">
        <v>383</v>
      </c>
      <c r="BY50" s="120" t="s">
        <v>383</v>
      </c>
      <c r="BZ50" s="120" t="s">
        <v>383</v>
      </c>
      <c r="CA50" s="120" t="s">
        <v>383</v>
      </c>
      <c r="CB50" s="76" t="s">
        <v>383</v>
      </c>
      <c r="CC50" s="76" t="s">
        <v>384</v>
      </c>
      <c r="CD50" s="76" t="s">
        <v>396</v>
      </c>
      <c r="CE50" s="76" t="s">
        <v>384</v>
      </c>
      <c r="CF50" s="76" t="s">
        <v>407</v>
      </c>
      <c r="CG50" s="121" t="s">
        <v>384</v>
      </c>
      <c r="CH50" s="121" t="s">
        <v>384</v>
      </c>
      <c r="CI50" s="121" t="s">
        <v>384</v>
      </c>
      <c r="CJ50" s="121" t="s">
        <v>383</v>
      </c>
      <c r="CK50" s="121" t="s">
        <v>383</v>
      </c>
      <c r="CL50" s="76" t="s">
        <v>384</v>
      </c>
      <c r="CM50" s="76" t="s">
        <v>408</v>
      </c>
      <c r="CN50" s="120" t="s">
        <v>384</v>
      </c>
      <c r="CO50" s="120" t="s">
        <v>384</v>
      </c>
      <c r="CP50" s="120" t="s">
        <v>383</v>
      </c>
      <c r="CQ50" s="120" t="s">
        <v>383</v>
      </c>
      <c r="CR50" s="76" t="s">
        <v>384</v>
      </c>
      <c r="CS50" s="76" t="s">
        <v>545</v>
      </c>
      <c r="CT50" s="120" t="s">
        <v>383</v>
      </c>
      <c r="CU50" s="120" t="s">
        <v>384</v>
      </c>
      <c r="CV50" s="120" t="s">
        <v>383</v>
      </c>
      <c r="CW50" s="76" t="s">
        <v>383</v>
      </c>
      <c r="CX50" s="76" t="s">
        <v>383</v>
      </c>
      <c r="CY50" s="76" t="s">
        <v>383</v>
      </c>
      <c r="CZ50" s="76" t="s">
        <v>387</v>
      </c>
      <c r="DA50" s="76" t="s">
        <v>384</v>
      </c>
      <c r="DB50" s="76" t="s">
        <v>384</v>
      </c>
      <c r="DC50" s="76" t="s">
        <v>383</v>
      </c>
      <c r="DD50" s="76" t="s">
        <v>384</v>
      </c>
      <c r="DE50" s="76" t="s">
        <v>383</v>
      </c>
      <c r="DF50" s="76" t="s">
        <v>384</v>
      </c>
      <c r="DG50" s="76" t="s">
        <v>384</v>
      </c>
      <c r="DH50" s="76" t="s">
        <v>383</v>
      </c>
      <c r="DI50" s="76" t="s">
        <v>388</v>
      </c>
      <c r="DJ50" s="76" t="s">
        <v>384</v>
      </c>
      <c r="DK50" s="76" t="s">
        <v>383</v>
      </c>
      <c r="DL50" s="76" t="s">
        <v>383</v>
      </c>
      <c r="DM50" s="76" t="s">
        <v>383</v>
      </c>
      <c r="DN50" s="76" t="s">
        <v>1461</v>
      </c>
      <c r="DO50" s="76" t="s">
        <v>1462</v>
      </c>
      <c r="DP50" s="76" t="s">
        <v>383</v>
      </c>
      <c r="DQ50" s="76" t="s">
        <v>383</v>
      </c>
      <c r="DR50" s="76" t="s">
        <v>384</v>
      </c>
      <c r="DS50" s="76" t="s">
        <v>383</v>
      </c>
      <c r="DT50" s="76" t="s">
        <v>383</v>
      </c>
      <c r="DU50" s="76" t="s">
        <v>383</v>
      </c>
      <c r="DV50" s="76" t="s">
        <v>409</v>
      </c>
      <c r="DW50" s="111"/>
      <c r="DX50" s="76" t="s">
        <v>1463</v>
      </c>
    </row>
    <row r="51" spans="2:128" ht="180">
      <c r="B51" s="72" t="s">
        <v>345</v>
      </c>
      <c r="C51" s="76" t="s">
        <v>191</v>
      </c>
      <c r="D51" s="76" t="s">
        <v>317</v>
      </c>
      <c r="E51" s="76">
        <v>2016</v>
      </c>
      <c r="F51" s="76" t="s">
        <v>381</v>
      </c>
      <c r="G51" s="115" t="s">
        <v>253</v>
      </c>
      <c r="H51" s="127">
        <v>5.3</v>
      </c>
      <c r="I51" s="76" t="s">
        <v>604</v>
      </c>
      <c r="J51" s="127" t="s">
        <v>1229</v>
      </c>
      <c r="K51" s="76">
        <v>2</v>
      </c>
      <c r="L51" s="76" t="s">
        <v>605</v>
      </c>
      <c r="M51" s="142" t="s">
        <v>1464</v>
      </c>
      <c r="N51" s="141" t="s">
        <v>1590</v>
      </c>
      <c r="O51" s="140" t="s">
        <v>384</v>
      </c>
      <c r="P51" s="140" t="s">
        <v>384</v>
      </c>
      <c r="Q51" s="140" t="s">
        <v>384</v>
      </c>
      <c r="R51" s="140" t="s">
        <v>383</v>
      </c>
      <c r="S51" s="140" t="s">
        <v>383</v>
      </c>
      <c r="T51" s="140" t="s">
        <v>434</v>
      </c>
      <c r="U51" s="140" t="s">
        <v>383</v>
      </c>
      <c r="V51" s="76" t="s">
        <v>482</v>
      </c>
      <c r="W51" s="76">
        <v>1976</v>
      </c>
      <c r="X51" s="76">
        <v>2012</v>
      </c>
      <c r="Y51" s="76">
        <f t="shared" si="4"/>
        <v>36</v>
      </c>
      <c r="Z51" s="76">
        <f t="shared" si="5"/>
        <v>4</v>
      </c>
      <c r="AA51" s="76">
        <v>176</v>
      </c>
      <c r="AB51" s="76">
        <v>7500</v>
      </c>
      <c r="AC51" s="76">
        <v>11000000</v>
      </c>
      <c r="AD51" s="76" t="s">
        <v>509</v>
      </c>
      <c r="AE51" s="76" t="s">
        <v>383</v>
      </c>
      <c r="AF51" s="76" t="s">
        <v>383</v>
      </c>
      <c r="AG51" s="76" t="s">
        <v>384</v>
      </c>
      <c r="AH51" s="76" t="s">
        <v>384</v>
      </c>
      <c r="AI51" s="76" t="s">
        <v>606</v>
      </c>
      <c r="AJ51" s="76" t="s">
        <v>383</v>
      </c>
      <c r="AK51" s="76" t="s">
        <v>392</v>
      </c>
      <c r="AL51" s="76" t="s">
        <v>392</v>
      </c>
      <c r="AM51" s="76"/>
      <c r="AN51" s="76" t="s">
        <v>1465</v>
      </c>
      <c r="AO51" s="76" t="s">
        <v>455</v>
      </c>
      <c r="AP51" s="120" t="s">
        <v>383</v>
      </c>
      <c r="AQ51" s="120" t="s">
        <v>383</v>
      </c>
      <c r="AR51" s="120" t="s">
        <v>383</v>
      </c>
      <c r="AS51" s="120" t="s">
        <v>384</v>
      </c>
      <c r="AT51" s="120" t="s">
        <v>383</v>
      </c>
      <c r="AU51" s="120" t="s">
        <v>383</v>
      </c>
      <c r="AV51" s="120" t="s">
        <v>383</v>
      </c>
      <c r="AW51" s="76" t="s">
        <v>989</v>
      </c>
      <c r="AX51" s="120" t="s">
        <v>384</v>
      </c>
      <c r="AY51" s="120" t="s">
        <v>383</v>
      </c>
      <c r="AZ51" s="120" t="s">
        <v>383</v>
      </c>
      <c r="BA51" s="120" t="s">
        <v>383</v>
      </c>
      <c r="BB51" s="120" t="s">
        <v>383</v>
      </c>
      <c r="BC51" s="120" t="s">
        <v>383</v>
      </c>
      <c r="BD51" s="120" t="s">
        <v>383</v>
      </c>
      <c r="BE51" s="76" t="s">
        <v>383</v>
      </c>
      <c r="BF51" s="76" t="s">
        <v>384</v>
      </c>
      <c r="BG51" s="76" t="s">
        <v>478</v>
      </c>
      <c r="BH51" s="78">
        <v>0.95</v>
      </c>
      <c r="BI51" s="76">
        <v>100</v>
      </c>
      <c r="BJ51" s="76" t="s">
        <v>383</v>
      </c>
      <c r="BK51" s="140"/>
      <c r="BL51" s="76" t="s">
        <v>392</v>
      </c>
      <c r="BM51" s="76" t="s">
        <v>392</v>
      </c>
      <c r="BN51" s="75" t="s">
        <v>383</v>
      </c>
      <c r="BO51" s="75" t="s">
        <v>392</v>
      </c>
      <c r="BP51" s="76" t="s">
        <v>392</v>
      </c>
      <c r="BQ51" s="76" t="s">
        <v>392</v>
      </c>
      <c r="BR51" s="75" t="s">
        <v>392</v>
      </c>
      <c r="BS51" s="111" t="s">
        <v>1466</v>
      </c>
      <c r="BT51" s="76" t="s">
        <v>438</v>
      </c>
      <c r="BU51" s="120" t="s">
        <v>384</v>
      </c>
      <c r="BV51" s="120" t="s">
        <v>383</v>
      </c>
      <c r="BW51" s="120" t="s">
        <v>383</v>
      </c>
      <c r="BX51" s="120" t="s">
        <v>383</v>
      </c>
      <c r="BY51" s="120" t="s">
        <v>383</v>
      </c>
      <c r="BZ51" s="120" t="s">
        <v>383</v>
      </c>
      <c r="CA51" s="120" t="s">
        <v>383</v>
      </c>
      <c r="CB51" s="75" t="s">
        <v>383</v>
      </c>
      <c r="CC51" s="76" t="s">
        <v>384</v>
      </c>
      <c r="CD51" s="76" t="s">
        <v>607</v>
      </c>
      <c r="CE51" s="76" t="s">
        <v>383</v>
      </c>
      <c r="CF51" s="76" t="s">
        <v>383</v>
      </c>
      <c r="CG51" s="121" t="s">
        <v>383</v>
      </c>
      <c r="CH51" s="121" t="s">
        <v>383</v>
      </c>
      <c r="CI51" s="121" t="s">
        <v>383</v>
      </c>
      <c r="CJ51" s="121" t="s">
        <v>383</v>
      </c>
      <c r="CK51" s="121" t="s">
        <v>383</v>
      </c>
      <c r="CL51" s="76" t="s">
        <v>384</v>
      </c>
      <c r="CM51" s="76" t="s">
        <v>1158</v>
      </c>
      <c r="CN51" s="120" t="s">
        <v>383</v>
      </c>
      <c r="CO51" s="120" t="s">
        <v>383</v>
      </c>
      <c r="CP51" s="120" t="s">
        <v>383</v>
      </c>
      <c r="CQ51" s="120" t="s">
        <v>384</v>
      </c>
      <c r="CR51" s="76" t="s">
        <v>384</v>
      </c>
      <c r="CS51" s="76" t="s">
        <v>608</v>
      </c>
      <c r="CT51" s="120" t="s">
        <v>383</v>
      </c>
      <c r="CU51" s="120" t="s">
        <v>383</v>
      </c>
      <c r="CV51" s="120" t="s">
        <v>384</v>
      </c>
      <c r="CW51" s="75" t="s">
        <v>383</v>
      </c>
      <c r="CX51" s="76" t="s">
        <v>383</v>
      </c>
      <c r="CY51" s="76" t="s">
        <v>383</v>
      </c>
      <c r="CZ51" s="76" t="s">
        <v>392</v>
      </c>
      <c r="DA51" s="76" t="s">
        <v>383</v>
      </c>
      <c r="DB51" s="76" t="s">
        <v>383</v>
      </c>
      <c r="DC51" s="76" t="s">
        <v>383</v>
      </c>
      <c r="DD51" s="76" t="s">
        <v>383</v>
      </c>
      <c r="DE51" s="76" t="s">
        <v>383</v>
      </c>
      <c r="DF51" s="76" t="s">
        <v>383</v>
      </c>
      <c r="DG51" s="76" t="s">
        <v>384</v>
      </c>
      <c r="DH51" s="75" t="s">
        <v>383</v>
      </c>
      <c r="DI51" s="76"/>
      <c r="DJ51" s="76" t="s">
        <v>383</v>
      </c>
      <c r="DK51" s="76" t="s">
        <v>383</v>
      </c>
      <c r="DL51" s="76" t="s">
        <v>383</v>
      </c>
      <c r="DM51" s="76" t="s">
        <v>383</v>
      </c>
      <c r="DN51" s="76" t="s">
        <v>1467</v>
      </c>
      <c r="DO51" s="76" t="s">
        <v>1468</v>
      </c>
      <c r="DP51" s="76" t="s">
        <v>383</v>
      </c>
      <c r="DQ51" s="76" t="s">
        <v>383</v>
      </c>
      <c r="DR51" s="76" t="s">
        <v>383</v>
      </c>
      <c r="DS51" s="76" t="s">
        <v>383</v>
      </c>
      <c r="DT51" s="76" t="s">
        <v>383</v>
      </c>
      <c r="DU51" s="76" t="s">
        <v>383</v>
      </c>
      <c r="DV51" s="76" t="s">
        <v>1469</v>
      </c>
      <c r="DW51" s="111" t="s">
        <v>655</v>
      </c>
      <c r="DX51" s="111"/>
    </row>
    <row r="52" spans="2:128" ht="75">
      <c r="B52" s="72" t="s">
        <v>995</v>
      </c>
      <c r="C52" s="111" t="s">
        <v>174</v>
      </c>
      <c r="D52" s="111" t="s">
        <v>975</v>
      </c>
      <c r="E52" s="111">
        <v>2023</v>
      </c>
      <c r="F52" s="111" t="s">
        <v>381</v>
      </c>
      <c r="G52" s="111" t="s">
        <v>267</v>
      </c>
      <c r="H52" s="127">
        <v>9.4</v>
      </c>
      <c r="I52" s="111" t="s">
        <v>627</v>
      </c>
      <c r="J52" s="132" t="s">
        <v>1234</v>
      </c>
      <c r="K52" s="111">
        <v>48</v>
      </c>
      <c r="L52" s="111" t="s">
        <v>978</v>
      </c>
      <c r="M52" s="113" t="s">
        <v>1470</v>
      </c>
      <c r="N52" s="141" t="s">
        <v>1569</v>
      </c>
      <c r="O52" s="140" t="s">
        <v>383</v>
      </c>
      <c r="P52" s="140" t="s">
        <v>384</v>
      </c>
      <c r="Q52" s="140" t="s">
        <v>383</v>
      </c>
      <c r="R52" s="140" t="s">
        <v>383</v>
      </c>
      <c r="S52" s="140" t="s">
        <v>383</v>
      </c>
      <c r="T52" s="140" t="s">
        <v>383</v>
      </c>
      <c r="U52" s="140" t="s">
        <v>383</v>
      </c>
      <c r="V52" s="111" t="s">
        <v>724</v>
      </c>
      <c r="W52" s="111">
        <v>2012</v>
      </c>
      <c r="X52" s="111">
        <v>2021</v>
      </c>
      <c r="Y52" s="111">
        <f t="shared" si="4"/>
        <v>9</v>
      </c>
      <c r="Z52" s="111">
        <f t="shared" si="5"/>
        <v>2</v>
      </c>
      <c r="AA52" s="111">
        <v>10</v>
      </c>
      <c r="AB52" s="111">
        <v>430</v>
      </c>
      <c r="AC52" s="111">
        <v>5933086</v>
      </c>
      <c r="AD52" s="111" t="s">
        <v>999</v>
      </c>
      <c r="AE52" s="111" t="s">
        <v>383</v>
      </c>
      <c r="AF52" s="111" t="s">
        <v>383</v>
      </c>
      <c r="AG52" s="111" t="s">
        <v>384</v>
      </c>
      <c r="AH52" s="111" t="s">
        <v>384</v>
      </c>
      <c r="AI52" s="111" t="s">
        <v>979</v>
      </c>
      <c r="AJ52" s="111" t="s">
        <v>384</v>
      </c>
      <c r="AK52" s="111" t="s">
        <v>980</v>
      </c>
      <c r="AL52" s="111">
        <v>0.996</v>
      </c>
      <c r="AM52" s="111">
        <v>100</v>
      </c>
      <c r="AN52" s="111" t="s">
        <v>1471</v>
      </c>
      <c r="AO52" s="111" t="s">
        <v>1144</v>
      </c>
      <c r="AP52" s="121" t="s">
        <v>383</v>
      </c>
      <c r="AQ52" s="121" t="s">
        <v>384</v>
      </c>
      <c r="AR52" s="121" t="s">
        <v>384</v>
      </c>
      <c r="AS52" s="121" t="s">
        <v>383</v>
      </c>
      <c r="AT52" s="121" t="s">
        <v>383</v>
      </c>
      <c r="AU52" s="121" t="s">
        <v>383</v>
      </c>
      <c r="AV52" s="121" t="s">
        <v>383</v>
      </c>
      <c r="AW52" s="111" t="s">
        <v>1137</v>
      </c>
      <c r="AX52" s="121" t="s">
        <v>384</v>
      </c>
      <c r="AY52" s="121" t="s">
        <v>384</v>
      </c>
      <c r="AZ52" s="121" t="s">
        <v>384</v>
      </c>
      <c r="BA52" s="121" t="s">
        <v>383</v>
      </c>
      <c r="BB52" s="121" t="s">
        <v>383</v>
      </c>
      <c r="BC52" s="121" t="s">
        <v>383</v>
      </c>
      <c r="BD52" s="121" t="s">
        <v>384</v>
      </c>
      <c r="BE52" s="111" t="s">
        <v>383</v>
      </c>
      <c r="BF52" s="111" t="s">
        <v>383</v>
      </c>
      <c r="BG52" s="111" t="s">
        <v>392</v>
      </c>
      <c r="BH52" s="111" t="s">
        <v>392</v>
      </c>
      <c r="BI52" s="111"/>
      <c r="BJ52" s="111" t="s">
        <v>384</v>
      </c>
      <c r="BK52" s="140" t="s">
        <v>1626</v>
      </c>
      <c r="BL52" s="111" t="s">
        <v>1018</v>
      </c>
      <c r="BM52" s="111" t="s">
        <v>1472</v>
      </c>
      <c r="BN52" s="111" t="s">
        <v>383</v>
      </c>
      <c r="BO52" s="111" t="s">
        <v>392</v>
      </c>
      <c r="BP52" s="111" t="s">
        <v>392</v>
      </c>
      <c r="BQ52" s="111" t="s">
        <v>392</v>
      </c>
      <c r="BR52" s="111" t="s">
        <v>392</v>
      </c>
      <c r="BS52" s="111" t="s">
        <v>1473</v>
      </c>
      <c r="BT52" s="111" t="s">
        <v>1086</v>
      </c>
      <c r="BU52" s="121" t="s">
        <v>384</v>
      </c>
      <c r="BV52" s="121" t="s">
        <v>383</v>
      </c>
      <c r="BW52" s="121" t="s">
        <v>383</v>
      </c>
      <c r="BX52" s="121" t="s">
        <v>383</v>
      </c>
      <c r="BY52" s="121" t="s">
        <v>383</v>
      </c>
      <c r="BZ52" s="121" t="s">
        <v>384</v>
      </c>
      <c r="CA52" s="121" t="s">
        <v>383</v>
      </c>
      <c r="CB52" s="111" t="s">
        <v>383</v>
      </c>
      <c r="CC52" s="111" t="s">
        <v>383</v>
      </c>
      <c r="CD52" s="111" t="s">
        <v>392</v>
      </c>
      <c r="CE52" s="111" t="s">
        <v>384</v>
      </c>
      <c r="CF52" s="111" t="s">
        <v>981</v>
      </c>
      <c r="CG52" s="121" t="s">
        <v>383</v>
      </c>
      <c r="CH52" s="121" t="s">
        <v>383</v>
      </c>
      <c r="CI52" s="121" t="s">
        <v>383</v>
      </c>
      <c r="CJ52" s="121" t="s">
        <v>383</v>
      </c>
      <c r="CK52" s="121" t="s">
        <v>384</v>
      </c>
      <c r="CL52" s="111" t="s">
        <v>384</v>
      </c>
      <c r="CM52" s="111" t="s">
        <v>982</v>
      </c>
      <c r="CN52" s="121" t="s">
        <v>383</v>
      </c>
      <c r="CO52" s="121" t="s">
        <v>383</v>
      </c>
      <c r="CP52" s="121" t="s">
        <v>383</v>
      </c>
      <c r="CQ52" s="121" t="s">
        <v>384</v>
      </c>
      <c r="CR52" s="111" t="s">
        <v>384</v>
      </c>
      <c r="CS52" s="111" t="s">
        <v>440</v>
      </c>
      <c r="CT52" s="121" t="s">
        <v>384</v>
      </c>
      <c r="CU52" s="121" t="s">
        <v>383</v>
      </c>
      <c r="CV52" s="120" t="s">
        <v>383</v>
      </c>
      <c r="CW52" s="111" t="s">
        <v>383</v>
      </c>
      <c r="CX52" s="111" t="s">
        <v>383</v>
      </c>
      <c r="CY52" s="111" t="s">
        <v>384</v>
      </c>
      <c r="CZ52" s="111" t="s">
        <v>983</v>
      </c>
      <c r="DA52" s="111" t="s">
        <v>384</v>
      </c>
      <c r="DB52" s="111" t="s">
        <v>384</v>
      </c>
      <c r="DC52" s="111" t="s">
        <v>384</v>
      </c>
      <c r="DD52" s="111" t="s">
        <v>384</v>
      </c>
      <c r="DE52" s="111" t="s">
        <v>384</v>
      </c>
      <c r="DF52" s="111" t="s">
        <v>384</v>
      </c>
      <c r="DG52" s="111" t="s">
        <v>383</v>
      </c>
      <c r="DH52" s="111" t="s">
        <v>383</v>
      </c>
      <c r="DI52" s="111" t="s">
        <v>984</v>
      </c>
      <c r="DJ52" s="111" t="s">
        <v>384</v>
      </c>
      <c r="DK52" s="111" t="s">
        <v>383</v>
      </c>
      <c r="DL52" s="111" t="s">
        <v>383</v>
      </c>
      <c r="DM52" s="111" t="s">
        <v>383</v>
      </c>
      <c r="DN52" s="111" t="s">
        <v>1474</v>
      </c>
      <c r="DO52" s="111" t="s">
        <v>1475</v>
      </c>
      <c r="DP52" s="111" t="s">
        <v>384</v>
      </c>
      <c r="DQ52" s="111" t="s">
        <v>383</v>
      </c>
      <c r="DR52" s="111" t="s">
        <v>384</v>
      </c>
      <c r="DS52" s="111" t="s">
        <v>383</v>
      </c>
      <c r="DT52" s="111" t="s">
        <v>384</v>
      </c>
      <c r="DU52" s="111" t="s">
        <v>384</v>
      </c>
      <c r="DV52" s="111"/>
      <c r="DW52" s="111"/>
      <c r="DX52" s="111"/>
    </row>
    <row r="53" spans="2:128" ht="210">
      <c r="B53" s="110" t="s">
        <v>344</v>
      </c>
      <c r="C53" s="111" t="s">
        <v>190</v>
      </c>
      <c r="D53" s="111" t="s">
        <v>283</v>
      </c>
      <c r="E53" s="111">
        <v>2023</v>
      </c>
      <c r="F53" s="111" t="s">
        <v>381</v>
      </c>
      <c r="G53" s="111" t="s">
        <v>242</v>
      </c>
      <c r="H53" s="127">
        <v>13.7</v>
      </c>
      <c r="I53" s="111" t="s">
        <v>628</v>
      </c>
      <c r="J53" s="128" t="s">
        <v>1230</v>
      </c>
      <c r="K53" s="111">
        <v>5</v>
      </c>
      <c r="L53" s="111" t="s">
        <v>670</v>
      </c>
      <c r="M53" s="113" t="s">
        <v>1476</v>
      </c>
      <c r="N53" s="141" t="s">
        <v>1590</v>
      </c>
      <c r="O53" s="140" t="s">
        <v>384</v>
      </c>
      <c r="P53" s="140" t="s">
        <v>384</v>
      </c>
      <c r="Q53" s="140" t="s">
        <v>384</v>
      </c>
      <c r="R53" s="140" t="s">
        <v>383</v>
      </c>
      <c r="S53" s="140" t="s">
        <v>383</v>
      </c>
      <c r="T53" s="140" t="s">
        <v>383</v>
      </c>
      <c r="U53" s="140" t="s">
        <v>383</v>
      </c>
      <c r="V53" s="111" t="s">
        <v>482</v>
      </c>
      <c r="W53" s="111">
        <v>1999</v>
      </c>
      <c r="X53" s="111">
        <v>2020</v>
      </c>
      <c r="Y53" s="111">
        <f t="shared" si="4"/>
        <v>21</v>
      </c>
      <c r="Z53" s="111">
        <f t="shared" si="5"/>
        <v>3</v>
      </c>
      <c r="AA53" s="111">
        <v>16</v>
      </c>
      <c r="AB53" s="111">
        <v>412</v>
      </c>
      <c r="AC53" s="111">
        <v>37219</v>
      </c>
      <c r="AD53" s="111" t="s">
        <v>998</v>
      </c>
      <c r="AE53" s="111" t="s">
        <v>384</v>
      </c>
      <c r="AF53" s="111" t="s">
        <v>671</v>
      </c>
      <c r="AG53" s="111" t="s">
        <v>383</v>
      </c>
      <c r="AH53" s="111" t="s">
        <v>384</v>
      </c>
      <c r="AI53" s="111" t="s">
        <v>672</v>
      </c>
      <c r="AJ53" s="111" t="s">
        <v>383</v>
      </c>
      <c r="AK53" s="111" t="s">
        <v>392</v>
      </c>
      <c r="AL53" s="111" t="s">
        <v>392</v>
      </c>
      <c r="AM53" s="111"/>
      <c r="AN53" s="111" t="s">
        <v>1477</v>
      </c>
      <c r="AO53" s="111" t="s">
        <v>1143</v>
      </c>
      <c r="AP53" s="121" t="s">
        <v>384</v>
      </c>
      <c r="AQ53" s="121" t="s">
        <v>383</v>
      </c>
      <c r="AR53" s="121" t="s">
        <v>383</v>
      </c>
      <c r="AS53" s="121" t="s">
        <v>383</v>
      </c>
      <c r="AT53" s="121" t="s">
        <v>383</v>
      </c>
      <c r="AU53" s="121" t="s">
        <v>383</v>
      </c>
      <c r="AV53" s="121" t="s">
        <v>384</v>
      </c>
      <c r="AW53" s="111" t="s">
        <v>633</v>
      </c>
      <c r="AX53" s="121" t="s">
        <v>383</v>
      </c>
      <c r="AY53" s="121" t="s">
        <v>383</v>
      </c>
      <c r="AZ53" s="121" t="s">
        <v>383</v>
      </c>
      <c r="BA53" s="121" t="s">
        <v>384</v>
      </c>
      <c r="BB53" s="121" t="s">
        <v>383</v>
      </c>
      <c r="BC53" s="121" t="s">
        <v>383</v>
      </c>
      <c r="BD53" s="121" t="s">
        <v>383</v>
      </c>
      <c r="BE53" s="111" t="s">
        <v>383</v>
      </c>
      <c r="BF53" s="111" t="s">
        <v>384</v>
      </c>
      <c r="BG53" s="111" t="s">
        <v>682</v>
      </c>
      <c r="BH53" s="111" t="s">
        <v>683</v>
      </c>
      <c r="BI53" s="111">
        <v>100</v>
      </c>
      <c r="BJ53" s="111" t="s">
        <v>384</v>
      </c>
      <c r="BK53" s="140" t="s">
        <v>1627</v>
      </c>
      <c r="BL53" s="111" t="s">
        <v>1478</v>
      </c>
      <c r="BM53" s="111" t="s">
        <v>1479</v>
      </c>
      <c r="BN53" s="111" t="s">
        <v>384</v>
      </c>
      <c r="BO53" s="111" t="s">
        <v>479</v>
      </c>
      <c r="BP53" s="111" t="s">
        <v>634</v>
      </c>
      <c r="BQ53" s="111" t="s">
        <v>432</v>
      </c>
      <c r="BR53" s="111" t="s">
        <v>1029</v>
      </c>
      <c r="BS53" s="111" t="s">
        <v>1480</v>
      </c>
      <c r="BT53" s="111" t="s">
        <v>805</v>
      </c>
      <c r="BU53" s="121" t="s">
        <v>384</v>
      </c>
      <c r="BV53" s="121" t="s">
        <v>383</v>
      </c>
      <c r="BW53" s="121" t="s">
        <v>383</v>
      </c>
      <c r="BX53" s="121" t="s">
        <v>383</v>
      </c>
      <c r="BY53" s="121" t="s">
        <v>383</v>
      </c>
      <c r="BZ53" s="121" t="s">
        <v>384</v>
      </c>
      <c r="CA53" s="121" t="s">
        <v>383</v>
      </c>
      <c r="CB53" s="111" t="s">
        <v>383</v>
      </c>
      <c r="CC53" s="111" t="s">
        <v>384</v>
      </c>
      <c r="CD53" s="111" t="s">
        <v>1075</v>
      </c>
      <c r="CE53" s="111" t="s">
        <v>383</v>
      </c>
      <c r="CF53" s="111" t="s">
        <v>383</v>
      </c>
      <c r="CG53" s="121" t="s">
        <v>383</v>
      </c>
      <c r="CH53" s="121" t="s">
        <v>383</v>
      </c>
      <c r="CI53" s="121" t="s">
        <v>383</v>
      </c>
      <c r="CJ53" s="121" t="s">
        <v>383</v>
      </c>
      <c r="CK53" s="121" t="s">
        <v>383</v>
      </c>
      <c r="CL53" s="111" t="s">
        <v>384</v>
      </c>
      <c r="CM53" s="111" t="s">
        <v>674</v>
      </c>
      <c r="CN53" s="121" t="s">
        <v>384</v>
      </c>
      <c r="CO53" s="121" t="s">
        <v>383</v>
      </c>
      <c r="CP53" s="121" t="s">
        <v>383</v>
      </c>
      <c r="CQ53" s="121" t="s">
        <v>384</v>
      </c>
      <c r="CR53" s="111" t="s">
        <v>384</v>
      </c>
      <c r="CS53" s="111" t="s">
        <v>545</v>
      </c>
      <c r="CT53" s="121" t="s">
        <v>383</v>
      </c>
      <c r="CU53" s="121" t="s">
        <v>384</v>
      </c>
      <c r="CV53" s="120" t="s">
        <v>383</v>
      </c>
      <c r="CW53" s="111" t="s">
        <v>384</v>
      </c>
      <c r="CX53" s="111" t="s">
        <v>383</v>
      </c>
      <c r="CY53" s="111" t="s">
        <v>383</v>
      </c>
      <c r="CZ53" s="111" t="s">
        <v>673</v>
      </c>
      <c r="DA53" s="111" t="s">
        <v>384</v>
      </c>
      <c r="DB53" s="111" t="s">
        <v>383</v>
      </c>
      <c r="DC53" s="111" t="s">
        <v>384</v>
      </c>
      <c r="DD53" s="111" t="s">
        <v>384</v>
      </c>
      <c r="DE53" s="111" t="s">
        <v>384</v>
      </c>
      <c r="DF53" s="111" t="s">
        <v>384</v>
      </c>
      <c r="DG53" s="75" t="s">
        <v>383</v>
      </c>
      <c r="DH53" s="111" t="s">
        <v>384</v>
      </c>
      <c r="DI53" s="111" t="s">
        <v>1094</v>
      </c>
      <c r="DJ53" s="111" t="s">
        <v>383</v>
      </c>
      <c r="DK53" s="111" t="s">
        <v>383</v>
      </c>
      <c r="DL53" s="111" t="s">
        <v>383</v>
      </c>
      <c r="DM53" s="75" t="s">
        <v>383</v>
      </c>
      <c r="DN53" s="111" t="s">
        <v>1481</v>
      </c>
      <c r="DO53" s="111" t="s">
        <v>1482</v>
      </c>
      <c r="DP53" s="111" t="s">
        <v>383</v>
      </c>
      <c r="DQ53" s="111" t="s">
        <v>383</v>
      </c>
      <c r="DR53" s="111" t="s">
        <v>383</v>
      </c>
      <c r="DS53" s="111" t="s">
        <v>384</v>
      </c>
      <c r="DT53" s="111" t="s">
        <v>383</v>
      </c>
      <c r="DU53" s="111" t="s">
        <v>383</v>
      </c>
      <c r="DV53" s="111" t="s">
        <v>1483</v>
      </c>
      <c r="DW53" s="111"/>
      <c r="DX53" s="111"/>
    </row>
    <row r="54" spans="2:128">
      <c r="B54" s="72" t="s">
        <v>332</v>
      </c>
      <c r="C54" s="76" t="s">
        <v>178</v>
      </c>
      <c r="D54" s="76" t="s">
        <v>313</v>
      </c>
      <c r="E54" s="76">
        <v>2015</v>
      </c>
      <c r="F54" s="76" t="s">
        <v>381</v>
      </c>
      <c r="G54" s="76" t="s">
        <v>243</v>
      </c>
      <c r="H54" s="127">
        <v>0.879</v>
      </c>
      <c r="I54" s="76" t="s">
        <v>707</v>
      </c>
      <c r="J54" s="127" t="s">
        <v>1231</v>
      </c>
      <c r="K54" s="76">
        <v>46</v>
      </c>
      <c r="L54" s="76" t="s">
        <v>706</v>
      </c>
      <c r="M54" s="142" t="s">
        <v>996</v>
      </c>
      <c r="N54" s="140" t="s">
        <v>1584</v>
      </c>
      <c r="O54" s="115" t="s">
        <v>1637</v>
      </c>
      <c r="P54" s="115" t="s">
        <v>1637</v>
      </c>
      <c r="Q54" s="140" t="s">
        <v>383</v>
      </c>
      <c r="R54" s="140" t="s">
        <v>383</v>
      </c>
      <c r="S54" s="140" t="s">
        <v>383</v>
      </c>
      <c r="T54" s="140" t="s">
        <v>383</v>
      </c>
      <c r="U54" s="140" t="s">
        <v>383</v>
      </c>
      <c r="V54" s="76" t="s">
        <v>588</v>
      </c>
      <c r="W54" s="76">
        <v>1985</v>
      </c>
      <c r="X54" s="76">
        <v>2014</v>
      </c>
      <c r="Y54" s="76">
        <f t="shared" si="4"/>
        <v>29</v>
      </c>
      <c r="Z54" s="76">
        <f t="shared" si="5"/>
        <v>1</v>
      </c>
      <c r="AA54" s="76">
        <v>60</v>
      </c>
      <c r="AB54" s="76">
        <v>203</v>
      </c>
      <c r="AC54" s="75">
        <v>1410400</v>
      </c>
      <c r="AD54" s="76" t="s">
        <v>714</v>
      </c>
      <c r="AE54" s="76" t="s">
        <v>383</v>
      </c>
      <c r="AF54" s="76" t="s">
        <v>383</v>
      </c>
      <c r="AG54" s="76" t="s">
        <v>384</v>
      </c>
      <c r="AH54" s="76" t="s">
        <v>384</v>
      </c>
      <c r="AI54" s="76" t="s">
        <v>708</v>
      </c>
      <c r="AJ54" s="76" t="s">
        <v>383</v>
      </c>
      <c r="AK54" s="76" t="s">
        <v>392</v>
      </c>
      <c r="AL54" s="76" t="s">
        <v>392</v>
      </c>
      <c r="AM54" s="76"/>
      <c r="AN54" s="76" t="s">
        <v>1484</v>
      </c>
      <c r="AO54" s="76" t="s">
        <v>1186</v>
      </c>
      <c r="AP54" s="120" t="s">
        <v>383</v>
      </c>
      <c r="AQ54" s="120" t="s">
        <v>384</v>
      </c>
      <c r="AR54" s="120" t="s">
        <v>383</v>
      </c>
      <c r="AS54" s="120" t="s">
        <v>383</v>
      </c>
      <c r="AT54" s="120" t="s">
        <v>383</v>
      </c>
      <c r="AU54" s="120" t="s">
        <v>384</v>
      </c>
      <c r="AV54" s="120" t="s">
        <v>383</v>
      </c>
      <c r="AW54" s="76" t="s">
        <v>1138</v>
      </c>
      <c r="AX54" s="120" t="s">
        <v>384</v>
      </c>
      <c r="AY54" s="120" t="s">
        <v>383</v>
      </c>
      <c r="AZ54" s="120" t="s">
        <v>383</v>
      </c>
      <c r="BA54" s="120" t="s">
        <v>384</v>
      </c>
      <c r="BB54" s="120" t="s">
        <v>383</v>
      </c>
      <c r="BC54" s="120" t="s">
        <v>383</v>
      </c>
      <c r="BD54" s="120" t="s">
        <v>383</v>
      </c>
      <c r="BE54" s="76" t="s">
        <v>383</v>
      </c>
      <c r="BF54" s="76" t="s">
        <v>383</v>
      </c>
      <c r="BG54" s="76" t="s">
        <v>392</v>
      </c>
      <c r="BH54" s="76" t="s">
        <v>392</v>
      </c>
      <c r="BI54" s="76"/>
      <c r="BJ54" s="76" t="s">
        <v>383</v>
      </c>
      <c r="BK54" s="140"/>
      <c r="BL54" s="76" t="s">
        <v>392</v>
      </c>
      <c r="BM54" s="76" t="s">
        <v>392</v>
      </c>
      <c r="BN54" s="76" t="s">
        <v>383</v>
      </c>
      <c r="BO54" s="76" t="s">
        <v>392</v>
      </c>
      <c r="BP54" s="76" t="s">
        <v>392</v>
      </c>
      <c r="BQ54" s="76" t="s">
        <v>392</v>
      </c>
      <c r="BR54" s="76" t="s">
        <v>392</v>
      </c>
      <c r="BS54" s="76" t="s">
        <v>1037</v>
      </c>
      <c r="BT54" s="76" t="s">
        <v>1087</v>
      </c>
      <c r="BU54" s="120" t="s">
        <v>383</v>
      </c>
      <c r="BV54" s="120" t="s">
        <v>383</v>
      </c>
      <c r="BW54" s="120" t="s">
        <v>383</v>
      </c>
      <c r="BX54" s="120" t="s">
        <v>383</v>
      </c>
      <c r="BY54" s="120" t="s">
        <v>383</v>
      </c>
      <c r="BZ54" s="120" t="s">
        <v>383</v>
      </c>
      <c r="CA54" s="120" t="s">
        <v>384</v>
      </c>
      <c r="CB54" s="76" t="s">
        <v>383</v>
      </c>
      <c r="CC54" s="76" t="s">
        <v>384</v>
      </c>
      <c r="CD54" s="76" t="s">
        <v>1046</v>
      </c>
      <c r="CE54" s="76" t="s">
        <v>383</v>
      </c>
      <c r="CF54" s="76" t="s">
        <v>383</v>
      </c>
      <c r="CG54" s="121" t="s">
        <v>383</v>
      </c>
      <c r="CH54" s="121" t="s">
        <v>383</v>
      </c>
      <c r="CI54" s="121" t="s">
        <v>383</v>
      </c>
      <c r="CJ54" s="121" t="s">
        <v>383</v>
      </c>
      <c r="CK54" s="121" t="s">
        <v>383</v>
      </c>
      <c r="CL54" s="76" t="s">
        <v>383</v>
      </c>
      <c r="CM54" s="76" t="s">
        <v>392</v>
      </c>
      <c r="CN54" s="120" t="s">
        <v>383</v>
      </c>
      <c r="CO54" s="120" t="s">
        <v>383</v>
      </c>
      <c r="CP54" s="120" t="s">
        <v>383</v>
      </c>
      <c r="CQ54" s="120" t="s">
        <v>383</v>
      </c>
      <c r="CR54" s="76" t="s">
        <v>384</v>
      </c>
      <c r="CS54" s="76" t="s">
        <v>717</v>
      </c>
      <c r="CT54" s="120" t="s">
        <v>384</v>
      </c>
      <c r="CU54" s="120" t="s">
        <v>384</v>
      </c>
      <c r="CV54" s="120" t="s">
        <v>383</v>
      </c>
      <c r="CW54" s="76" t="s">
        <v>383</v>
      </c>
      <c r="CX54" s="76" t="s">
        <v>383</v>
      </c>
      <c r="CY54" s="76" t="s">
        <v>383</v>
      </c>
      <c r="CZ54" s="76" t="s">
        <v>392</v>
      </c>
      <c r="DA54" s="76" t="s">
        <v>383</v>
      </c>
      <c r="DB54" s="76" t="s">
        <v>383</v>
      </c>
      <c r="DC54" s="76" t="s">
        <v>383</v>
      </c>
      <c r="DD54" s="76" t="s">
        <v>384</v>
      </c>
      <c r="DE54" s="76" t="s">
        <v>384</v>
      </c>
      <c r="DF54" s="76" t="s">
        <v>383</v>
      </c>
      <c r="DG54" s="76" t="s">
        <v>384</v>
      </c>
      <c r="DH54" s="76" t="s">
        <v>383</v>
      </c>
      <c r="DI54" s="76" t="s">
        <v>1070</v>
      </c>
      <c r="DJ54" s="76" t="s">
        <v>383</v>
      </c>
      <c r="DK54" s="76" t="s">
        <v>383</v>
      </c>
      <c r="DL54" s="76" t="s">
        <v>383</v>
      </c>
      <c r="DM54" s="76" t="s">
        <v>383</v>
      </c>
      <c r="DN54" s="76" t="s">
        <v>1485</v>
      </c>
      <c r="DO54" s="76" t="s">
        <v>1486</v>
      </c>
      <c r="DP54" s="76" t="s">
        <v>383</v>
      </c>
      <c r="DQ54" s="76" t="s">
        <v>383</v>
      </c>
      <c r="DR54" s="76" t="s">
        <v>383</v>
      </c>
      <c r="DS54" s="76" t="s">
        <v>383</v>
      </c>
      <c r="DT54" s="76" t="s">
        <v>383</v>
      </c>
      <c r="DU54" s="76" t="s">
        <v>383</v>
      </c>
      <c r="DV54" s="76" t="s">
        <v>718</v>
      </c>
      <c r="DW54" s="111"/>
      <c r="DX54" s="76"/>
    </row>
    <row r="55" spans="2:128" ht="165">
      <c r="B55" s="72" t="s">
        <v>377</v>
      </c>
      <c r="C55" s="76" t="s">
        <v>222</v>
      </c>
      <c r="D55" s="72" t="s">
        <v>299</v>
      </c>
      <c r="E55" s="76">
        <v>2024</v>
      </c>
      <c r="F55" s="76" t="s">
        <v>381</v>
      </c>
      <c r="G55" s="115" t="s">
        <v>230</v>
      </c>
      <c r="H55" s="127">
        <v>8.6</v>
      </c>
      <c r="I55" s="76" t="s">
        <v>719</v>
      </c>
      <c r="J55" s="127" t="s">
        <v>1231</v>
      </c>
      <c r="K55" s="76">
        <v>3</v>
      </c>
      <c r="L55" s="76" t="s">
        <v>798</v>
      </c>
      <c r="M55" s="92" t="s">
        <v>1487</v>
      </c>
      <c r="N55" s="141" t="s">
        <v>1571</v>
      </c>
      <c r="O55" s="140" t="s">
        <v>383</v>
      </c>
      <c r="P55" s="140" t="s">
        <v>383</v>
      </c>
      <c r="Q55" s="140" t="s">
        <v>384</v>
      </c>
      <c r="R55" s="140" t="s">
        <v>384</v>
      </c>
      <c r="S55" s="140" t="s">
        <v>383</v>
      </c>
      <c r="T55" s="140" t="s">
        <v>383</v>
      </c>
      <c r="U55" s="140" t="s">
        <v>383</v>
      </c>
      <c r="V55" s="76" t="s">
        <v>799</v>
      </c>
      <c r="W55" s="76">
        <v>1998</v>
      </c>
      <c r="X55" s="76">
        <v>2021</v>
      </c>
      <c r="Y55" s="76">
        <f t="shared" si="4"/>
        <v>23</v>
      </c>
      <c r="Z55" s="76">
        <f t="shared" si="5"/>
        <v>3</v>
      </c>
      <c r="AA55" s="76">
        <v>41</v>
      </c>
      <c r="AB55" s="76">
        <v>3462</v>
      </c>
      <c r="AC55" s="76">
        <v>3800000</v>
      </c>
      <c r="AD55" s="76" t="s">
        <v>997</v>
      </c>
      <c r="AE55" s="75" t="s">
        <v>384</v>
      </c>
      <c r="AF55" s="75" t="s">
        <v>836</v>
      </c>
      <c r="AG55" s="76" t="s">
        <v>384</v>
      </c>
      <c r="AH55" s="76" t="s">
        <v>384</v>
      </c>
      <c r="AI55" s="76" t="s">
        <v>800</v>
      </c>
      <c r="AJ55" s="76" t="s">
        <v>383</v>
      </c>
      <c r="AK55" s="76" t="s">
        <v>392</v>
      </c>
      <c r="AL55" s="76" t="s">
        <v>392</v>
      </c>
      <c r="AM55" s="76"/>
      <c r="AN55" s="111" t="s">
        <v>1488</v>
      </c>
      <c r="AO55" s="76" t="s">
        <v>1185</v>
      </c>
      <c r="AP55" s="120" t="s">
        <v>383</v>
      </c>
      <c r="AQ55" s="120" t="s">
        <v>383</v>
      </c>
      <c r="AR55" s="120" t="s">
        <v>383</v>
      </c>
      <c r="AS55" s="120" t="s">
        <v>383</v>
      </c>
      <c r="AT55" s="120" t="s">
        <v>384</v>
      </c>
      <c r="AU55" s="120" t="s">
        <v>383</v>
      </c>
      <c r="AV55" s="120" t="s">
        <v>383</v>
      </c>
      <c r="AW55" s="76" t="s">
        <v>802</v>
      </c>
      <c r="AX55" s="120" t="s">
        <v>384</v>
      </c>
      <c r="AY55" s="120" t="s">
        <v>383</v>
      </c>
      <c r="AZ55" s="120" t="s">
        <v>383</v>
      </c>
      <c r="BA55" s="120" t="s">
        <v>383</v>
      </c>
      <c r="BB55" s="120" t="s">
        <v>383</v>
      </c>
      <c r="BC55" s="120" t="s">
        <v>383</v>
      </c>
      <c r="BD55" s="120" t="s">
        <v>383</v>
      </c>
      <c r="BE55" s="75" t="s">
        <v>383</v>
      </c>
      <c r="BF55" s="76" t="s">
        <v>384</v>
      </c>
      <c r="BG55" s="76" t="s">
        <v>385</v>
      </c>
      <c r="BH55" s="76" t="s">
        <v>801</v>
      </c>
      <c r="BI55" s="76">
        <v>100</v>
      </c>
      <c r="BJ55" s="76" t="s">
        <v>383</v>
      </c>
      <c r="BK55" s="140"/>
      <c r="BL55" s="76" t="s">
        <v>392</v>
      </c>
      <c r="BM55" s="76" t="s">
        <v>392</v>
      </c>
      <c r="BN55" s="76" t="s">
        <v>383</v>
      </c>
      <c r="BO55" s="76" t="s">
        <v>392</v>
      </c>
      <c r="BP55" s="76" t="s">
        <v>392</v>
      </c>
      <c r="BQ55" s="76" t="s">
        <v>392</v>
      </c>
      <c r="BR55" s="76" t="s">
        <v>392</v>
      </c>
      <c r="BS55" s="76" t="s">
        <v>1489</v>
      </c>
      <c r="BT55" s="76" t="s">
        <v>438</v>
      </c>
      <c r="BU55" s="120" t="s">
        <v>384</v>
      </c>
      <c r="BV55" s="120" t="s">
        <v>383</v>
      </c>
      <c r="BW55" s="120" t="s">
        <v>383</v>
      </c>
      <c r="BX55" s="120" t="s">
        <v>383</v>
      </c>
      <c r="BY55" s="120" t="s">
        <v>383</v>
      </c>
      <c r="BZ55" s="120" t="s">
        <v>383</v>
      </c>
      <c r="CA55" s="120" t="s">
        <v>383</v>
      </c>
      <c r="CB55" s="76" t="s">
        <v>384</v>
      </c>
      <c r="CC55" s="76" t="s">
        <v>384</v>
      </c>
      <c r="CD55" s="76" t="s">
        <v>843</v>
      </c>
      <c r="CE55" s="76" t="s">
        <v>383</v>
      </c>
      <c r="CF55" s="76" t="s">
        <v>383</v>
      </c>
      <c r="CG55" s="121" t="s">
        <v>383</v>
      </c>
      <c r="CH55" s="121" t="s">
        <v>383</v>
      </c>
      <c r="CI55" s="121" t="s">
        <v>383</v>
      </c>
      <c r="CJ55" s="121" t="s">
        <v>383</v>
      </c>
      <c r="CK55" s="121" t="s">
        <v>383</v>
      </c>
      <c r="CL55" s="76" t="s">
        <v>384</v>
      </c>
      <c r="CM55" s="76" t="s">
        <v>804</v>
      </c>
      <c r="CN55" s="120" t="s">
        <v>384</v>
      </c>
      <c r="CO55" s="120" t="s">
        <v>384</v>
      </c>
      <c r="CP55" s="120" t="s">
        <v>383</v>
      </c>
      <c r="CQ55" s="120" t="s">
        <v>383</v>
      </c>
      <c r="CR55" s="76" t="s">
        <v>384</v>
      </c>
      <c r="CS55" s="76" t="s">
        <v>803</v>
      </c>
      <c r="CT55" s="120" t="s">
        <v>384</v>
      </c>
      <c r="CU55" s="120" t="s">
        <v>384</v>
      </c>
      <c r="CV55" s="120" t="s">
        <v>383</v>
      </c>
      <c r="CW55" s="76" t="s">
        <v>383</v>
      </c>
      <c r="CX55" s="76" t="s">
        <v>384</v>
      </c>
      <c r="CY55" s="76" t="s">
        <v>383</v>
      </c>
      <c r="CZ55" s="76" t="s">
        <v>838</v>
      </c>
      <c r="DA55" s="76" t="s">
        <v>383</v>
      </c>
      <c r="DB55" s="76" t="s">
        <v>383</v>
      </c>
      <c r="DC55" s="76" t="s">
        <v>383</v>
      </c>
      <c r="DD55" s="75" t="s">
        <v>384</v>
      </c>
      <c r="DE55" s="76" t="s">
        <v>383</v>
      </c>
      <c r="DF55" s="76" t="s">
        <v>384</v>
      </c>
      <c r="DG55" s="76" t="s">
        <v>384</v>
      </c>
      <c r="DH55" s="76" t="s">
        <v>383</v>
      </c>
      <c r="DI55" s="76" t="s">
        <v>1093</v>
      </c>
      <c r="DJ55" s="76" t="s">
        <v>383</v>
      </c>
      <c r="DK55" s="76" t="s">
        <v>383</v>
      </c>
      <c r="DL55" s="75" t="s">
        <v>383</v>
      </c>
      <c r="DM55" s="76" t="s">
        <v>383</v>
      </c>
      <c r="DN55" s="76"/>
      <c r="DO55" s="76" t="s">
        <v>1490</v>
      </c>
      <c r="DP55" s="76" t="s">
        <v>383</v>
      </c>
      <c r="DQ55" s="76" t="s">
        <v>383</v>
      </c>
      <c r="DR55" s="76" t="s">
        <v>383</v>
      </c>
      <c r="DS55" s="76" t="s">
        <v>383</v>
      </c>
      <c r="DT55" s="76" t="s">
        <v>384</v>
      </c>
      <c r="DU55" s="76" t="s">
        <v>384</v>
      </c>
      <c r="DV55" s="76" t="s">
        <v>837</v>
      </c>
      <c r="DW55" s="111"/>
      <c r="DX55" s="76"/>
    </row>
    <row r="56" spans="2:128" ht="120">
      <c r="B56" s="110" t="s">
        <v>327</v>
      </c>
      <c r="C56" s="111" t="s">
        <v>173</v>
      </c>
      <c r="D56" s="111" t="s">
        <v>296</v>
      </c>
      <c r="E56" s="111">
        <v>2019</v>
      </c>
      <c r="F56" s="111" t="s">
        <v>381</v>
      </c>
      <c r="G56" s="111" t="s">
        <v>238</v>
      </c>
      <c r="H56" s="127">
        <v>6</v>
      </c>
      <c r="I56" s="111" t="s">
        <v>756</v>
      </c>
      <c r="J56" s="128" t="s">
        <v>1230</v>
      </c>
      <c r="K56" s="111">
        <v>100</v>
      </c>
      <c r="L56" s="111" t="s">
        <v>757</v>
      </c>
      <c r="M56" s="113" t="s">
        <v>1628</v>
      </c>
      <c r="N56" s="141" t="s">
        <v>1629</v>
      </c>
      <c r="O56" s="140" t="s">
        <v>384</v>
      </c>
      <c r="P56" s="140" t="s">
        <v>384</v>
      </c>
      <c r="Q56" s="140" t="s">
        <v>384</v>
      </c>
      <c r="R56" s="115" t="s">
        <v>1630</v>
      </c>
      <c r="S56" s="140" t="s">
        <v>383</v>
      </c>
      <c r="T56" s="140" t="s">
        <v>383</v>
      </c>
      <c r="U56" s="140" t="s">
        <v>383</v>
      </c>
      <c r="V56" s="111" t="s">
        <v>482</v>
      </c>
      <c r="W56" s="111">
        <v>1996</v>
      </c>
      <c r="X56" s="111">
        <v>2014</v>
      </c>
      <c r="Y56" s="111">
        <f t="shared" si="4"/>
        <v>18</v>
      </c>
      <c r="Z56" s="111">
        <f t="shared" si="5"/>
        <v>5</v>
      </c>
      <c r="AA56" s="111">
        <v>11</v>
      </c>
      <c r="AB56" s="111">
        <v>140</v>
      </c>
      <c r="AC56" s="111">
        <v>32500</v>
      </c>
      <c r="AD56" s="111" t="s">
        <v>758</v>
      </c>
      <c r="AE56" s="111" t="s">
        <v>384</v>
      </c>
      <c r="AF56" s="111" t="s">
        <v>564</v>
      </c>
      <c r="AG56" s="111" t="s">
        <v>383</v>
      </c>
      <c r="AH56" s="111" t="s">
        <v>384</v>
      </c>
      <c r="AI56" s="111" t="s">
        <v>759</v>
      </c>
      <c r="AJ56" s="111" t="s">
        <v>384</v>
      </c>
      <c r="AK56" s="111" t="s">
        <v>391</v>
      </c>
      <c r="AL56" s="111" t="s">
        <v>392</v>
      </c>
      <c r="AM56" s="111">
        <v>100</v>
      </c>
      <c r="AN56" s="111" t="s">
        <v>1491</v>
      </c>
      <c r="AO56" s="111" t="s">
        <v>1015</v>
      </c>
      <c r="AP56" s="121" t="s">
        <v>384</v>
      </c>
      <c r="AQ56" s="121" t="s">
        <v>383</v>
      </c>
      <c r="AR56" s="121" t="s">
        <v>383</v>
      </c>
      <c r="AS56" s="121" t="s">
        <v>383</v>
      </c>
      <c r="AT56" s="121" t="s">
        <v>383</v>
      </c>
      <c r="AU56" s="121" t="s">
        <v>383</v>
      </c>
      <c r="AV56" s="121" t="s">
        <v>384</v>
      </c>
      <c r="AW56" s="111" t="s">
        <v>633</v>
      </c>
      <c r="AX56" s="121" t="s">
        <v>383</v>
      </c>
      <c r="AY56" s="121" t="s">
        <v>383</v>
      </c>
      <c r="AZ56" s="121" t="s">
        <v>383</v>
      </c>
      <c r="BA56" s="121" t="s">
        <v>384</v>
      </c>
      <c r="BB56" s="121" t="s">
        <v>383</v>
      </c>
      <c r="BC56" s="121" t="s">
        <v>383</v>
      </c>
      <c r="BD56" s="121" t="s">
        <v>383</v>
      </c>
      <c r="BE56" s="111" t="s">
        <v>383</v>
      </c>
      <c r="BF56" s="111" t="s">
        <v>384</v>
      </c>
      <c r="BG56" s="111" t="s">
        <v>895</v>
      </c>
      <c r="BH56" s="111" t="s">
        <v>760</v>
      </c>
      <c r="BI56" s="111">
        <v>100</v>
      </c>
      <c r="BJ56" s="111" t="s">
        <v>384</v>
      </c>
      <c r="BK56" s="140" t="s">
        <v>1631</v>
      </c>
      <c r="BL56" s="111" t="s">
        <v>1019</v>
      </c>
      <c r="BM56" s="111" t="s">
        <v>1492</v>
      </c>
      <c r="BN56" s="111" t="s">
        <v>384</v>
      </c>
      <c r="BO56" s="111" t="s">
        <v>479</v>
      </c>
      <c r="BP56" s="111" t="s">
        <v>761</v>
      </c>
      <c r="BQ56" s="111" t="s">
        <v>432</v>
      </c>
      <c r="BR56" s="111" t="s">
        <v>1027</v>
      </c>
      <c r="BS56" s="111" t="s">
        <v>1493</v>
      </c>
      <c r="BT56" s="111" t="s">
        <v>438</v>
      </c>
      <c r="BU56" s="121" t="s">
        <v>384</v>
      </c>
      <c r="BV56" s="121" t="s">
        <v>383</v>
      </c>
      <c r="BW56" s="121" t="s">
        <v>383</v>
      </c>
      <c r="BX56" s="121" t="s">
        <v>383</v>
      </c>
      <c r="BY56" s="121" t="s">
        <v>383</v>
      </c>
      <c r="BZ56" s="121" t="s">
        <v>383</v>
      </c>
      <c r="CA56" s="121" t="s">
        <v>383</v>
      </c>
      <c r="CB56" s="111" t="s">
        <v>384</v>
      </c>
      <c r="CC56" s="111" t="s">
        <v>384</v>
      </c>
      <c r="CD56" s="111" t="s">
        <v>1047</v>
      </c>
      <c r="CE56" s="111" t="s">
        <v>384</v>
      </c>
      <c r="CF56" s="111" t="s">
        <v>762</v>
      </c>
      <c r="CG56" s="121" t="s">
        <v>384</v>
      </c>
      <c r="CH56" s="121" t="s">
        <v>384</v>
      </c>
      <c r="CI56" s="121" t="s">
        <v>383</v>
      </c>
      <c r="CJ56" s="121" t="s">
        <v>383</v>
      </c>
      <c r="CK56" s="121" t="s">
        <v>383</v>
      </c>
      <c r="CL56" s="111" t="s">
        <v>384</v>
      </c>
      <c r="CM56" s="111" t="s">
        <v>763</v>
      </c>
      <c r="CN56" s="121" t="s">
        <v>384</v>
      </c>
      <c r="CO56" s="121" t="s">
        <v>384</v>
      </c>
      <c r="CP56" s="121" t="s">
        <v>383</v>
      </c>
      <c r="CQ56" s="121" t="s">
        <v>383</v>
      </c>
      <c r="CR56" s="111" t="s">
        <v>383</v>
      </c>
      <c r="CS56" s="111" t="s">
        <v>383</v>
      </c>
      <c r="CT56" s="121" t="s">
        <v>383</v>
      </c>
      <c r="CU56" s="121" t="s">
        <v>383</v>
      </c>
      <c r="CV56" s="120" t="s">
        <v>383</v>
      </c>
      <c r="CW56" s="111" t="s">
        <v>383</v>
      </c>
      <c r="CX56" s="111" t="s">
        <v>383</v>
      </c>
      <c r="CY56" s="111" t="s">
        <v>383</v>
      </c>
      <c r="CZ56" s="111" t="s">
        <v>764</v>
      </c>
      <c r="DA56" s="111" t="s">
        <v>384</v>
      </c>
      <c r="DB56" s="111" t="s">
        <v>384</v>
      </c>
      <c r="DC56" s="111" t="s">
        <v>384</v>
      </c>
      <c r="DD56" s="111" t="s">
        <v>383</v>
      </c>
      <c r="DE56" s="111" t="s">
        <v>384</v>
      </c>
      <c r="DF56" s="111" t="s">
        <v>384</v>
      </c>
      <c r="DG56" s="111" t="s">
        <v>383</v>
      </c>
      <c r="DH56" s="111" t="s">
        <v>383</v>
      </c>
      <c r="DI56" s="111" t="s">
        <v>1071</v>
      </c>
      <c r="DJ56" s="111" t="s">
        <v>384</v>
      </c>
      <c r="DK56" s="111" t="s">
        <v>383</v>
      </c>
      <c r="DL56" s="111" t="s">
        <v>383</v>
      </c>
      <c r="DM56" s="111" t="s">
        <v>383</v>
      </c>
      <c r="DN56" s="111" t="s">
        <v>1494</v>
      </c>
      <c r="DO56" s="111" t="s">
        <v>1495</v>
      </c>
      <c r="DP56" s="111" t="s">
        <v>384</v>
      </c>
      <c r="DQ56" s="111" t="s">
        <v>383</v>
      </c>
      <c r="DR56" s="111" t="s">
        <v>383</v>
      </c>
      <c r="DS56" s="111" t="s">
        <v>383</v>
      </c>
      <c r="DT56" s="111" t="s">
        <v>383</v>
      </c>
      <c r="DU56" s="111" t="s">
        <v>383</v>
      </c>
      <c r="DV56" s="111"/>
      <c r="DW56" s="111"/>
      <c r="DX56" s="111"/>
    </row>
    <row r="57" spans="2:128" ht="75">
      <c r="B57" s="72" t="s">
        <v>363</v>
      </c>
      <c r="C57" s="111" t="s">
        <v>209</v>
      </c>
      <c r="D57" s="111" t="s">
        <v>307</v>
      </c>
      <c r="E57" s="111">
        <v>2019</v>
      </c>
      <c r="F57" s="111" t="s">
        <v>381</v>
      </c>
      <c r="G57" s="115" t="s">
        <v>267</v>
      </c>
      <c r="H57" s="127">
        <v>9.4</v>
      </c>
      <c r="I57" s="111" t="s">
        <v>627</v>
      </c>
      <c r="J57" s="128" t="s">
        <v>1231</v>
      </c>
      <c r="K57" s="111">
        <v>187</v>
      </c>
      <c r="L57" s="111" t="s">
        <v>839</v>
      </c>
      <c r="M57" s="92" t="s">
        <v>1496</v>
      </c>
      <c r="N57" s="141" t="s">
        <v>1575</v>
      </c>
      <c r="O57" s="140" t="s">
        <v>383</v>
      </c>
      <c r="P57" s="140" t="s">
        <v>384</v>
      </c>
      <c r="Q57" s="140" t="s">
        <v>384</v>
      </c>
      <c r="R57" s="140" t="s">
        <v>383</v>
      </c>
      <c r="S57" s="140" t="s">
        <v>383</v>
      </c>
      <c r="T57" s="140" t="s">
        <v>383</v>
      </c>
      <c r="U57" s="140" t="s">
        <v>383</v>
      </c>
      <c r="V57" s="111" t="s">
        <v>588</v>
      </c>
      <c r="W57" s="111">
        <v>1991</v>
      </c>
      <c r="X57" s="111">
        <v>2018</v>
      </c>
      <c r="Y57" s="111">
        <f t="shared" si="4"/>
        <v>27</v>
      </c>
      <c r="Z57" s="111">
        <f t="shared" si="5"/>
        <v>1</v>
      </c>
      <c r="AA57" s="111">
        <v>92</v>
      </c>
      <c r="AB57" s="111">
        <v>2500</v>
      </c>
      <c r="AC57" s="111">
        <v>1100000</v>
      </c>
      <c r="AD57" s="111" t="s">
        <v>813</v>
      </c>
      <c r="AE57" s="111" t="s">
        <v>383</v>
      </c>
      <c r="AF57" s="111" t="s">
        <v>383</v>
      </c>
      <c r="AG57" s="111" t="s">
        <v>383</v>
      </c>
      <c r="AH57" s="111" t="s">
        <v>384</v>
      </c>
      <c r="AI57" s="111" t="s">
        <v>812</v>
      </c>
      <c r="AJ57" s="111" t="s">
        <v>383</v>
      </c>
      <c r="AK57" s="111" t="s">
        <v>392</v>
      </c>
      <c r="AL57" s="111" t="s">
        <v>392</v>
      </c>
      <c r="AM57" s="111"/>
      <c r="AN57" s="111" t="s">
        <v>1546</v>
      </c>
      <c r="AO57" s="111" t="s">
        <v>392</v>
      </c>
      <c r="AP57" s="121" t="s">
        <v>383</v>
      </c>
      <c r="AQ57" s="121" t="s">
        <v>383</v>
      </c>
      <c r="AR57" s="121" t="s">
        <v>383</v>
      </c>
      <c r="AS57" s="121" t="s">
        <v>383</v>
      </c>
      <c r="AT57" s="121" t="s">
        <v>383</v>
      </c>
      <c r="AU57" s="121" t="s">
        <v>383</v>
      </c>
      <c r="AV57" s="121" t="s">
        <v>383</v>
      </c>
      <c r="AW57" s="111" t="s">
        <v>989</v>
      </c>
      <c r="AX57" s="121" t="s">
        <v>384</v>
      </c>
      <c r="AY57" s="121" t="s">
        <v>383</v>
      </c>
      <c r="AZ57" s="121" t="s">
        <v>383</v>
      </c>
      <c r="BA57" s="121" t="s">
        <v>383</v>
      </c>
      <c r="BB57" s="121" t="s">
        <v>383</v>
      </c>
      <c r="BC57" s="121" t="s">
        <v>383</v>
      </c>
      <c r="BD57" s="121" t="s">
        <v>383</v>
      </c>
      <c r="BE57" s="111" t="s">
        <v>383</v>
      </c>
      <c r="BF57" s="111" t="s">
        <v>384</v>
      </c>
      <c r="BG57" s="111" t="s">
        <v>385</v>
      </c>
      <c r="BH57" s="111" t="s">
        <v>814</v>
      </c>
      <c r="BI57" s="111">
        <v>10.87</v>
      </c>
      <c r="BJ57" s="111" t="s">
        <v>384</v>
      </c>
      <c r="BK57" s="140" t="s">
        <v>1632</v>
      </c>
      <c r="BL57" s="111" t="s">
        <v>663</v>
      </c>
      <c r="BM57" s="111" t="s">
        <v>1544</v>
      </c>
      <c r="BN57" s="111" t="s">
        <v>383</v>
      </c>
      <c r="BO57" s="111" t="s">
        <v>392</v>
      </c>
      <c r="BP57" s="111" t="s">
        <v>392</v>
      </c>
      <c r="BQ57" s="111" t="s">
        <v>392</v>
      </c>
      <c r="BR57" s="111" t="s">
        <v>392</v>
      </c>
      <c r="BS57" s="111" t="s">
        <v>1545</v>
      </c>
      <c r="BT57" s="111" t="s">
        <v>815</v>
      </c>
      <c r="BU57" s="121" t="s">
        <v>383</v>
      </c>
      <c r="BV57" s="121" t="s">
        <v>383</v>
      </c>
      <c r="BW57" s="121" t="s">
        <v>383</v>
      </c>
      <c r="BX57" s="121" t="s">
        <v>383</v>
      </c>
      <c r="BY57" s="121" t="s">
        <v>383</v>
      </c>
      <c r="BZ57" s="121" t="s">
        <v>384</v>
      </c>
      <c r="CA57" s="121" t="s">
        <v>383</v>
      </c>
      <c r="CB57" s="111" t="s">
        <v>384</v>
      </c>
      <c r="CC57" s="111" t="s">
        <v>384</v>
      </c>
      <c r="CD57" s="111" t="s">
        <v>1497</v>
      </c>
      <c r="CE57" s="111" t="s">
        <v>383</v>
      </c>
      <c r="CF57" s="111" t="s">
        <v>383</v>
      </c>
      <c r="CG57" s="121" t="s">
        <v>383</v>
      </c>
      <c r="CH57" s="121" t="s">
        <v>383</v>
      </c>
      <c r="CI57" s="121" t="s">
        <v>383</v>
      </c>
      <c r="CJ57" s="121" t="s">
        <v>383</v>
      </c>
      <c r="CK57" s="121" t="s">
        <v>383</v>
      </c>
      <c r="CL57" s="111" t="s">
        <v>384</v>
      </c>
      <c r="CM57" s="111" t="s">
        <v>816</v>
      </c>
      <c r="CN57" s="121" t="s">
        <v>383</v>
      </c>
      <c r="CO57" s="121" t="s">
        <v>383</v>
      </c>
      <c r="CP57" s="121" t="s">
        <v>383</v>
      </c>
      <c r="CQ57" s="121" t="s">
        <v>384</v>
      </c>
      <c r="CR57" s="111" t="s">
        <v>383</v>
      </c>
      <c r="CS57" s="111" t="s">
        <v>383</v>
      </c>
      <c r="CT57" s="121" t="s">
        <v>383</v>
      </c>
      <c r="CU57" s="121" t="s">
        <v>383</v>
      </c>
      <c r="CV57" s="120" t="s">
        <v>383</v>
      </c>
      <c r="CW57" s="111" t="s">
        <v>384</v>
      </c>
      <c r="CX57" s="111" t="s">
        <v>383</v>
      </c>
      <c r="CY57" s="111" t="s">
        <v>383</v>
      </c>
      <c r="CZ57" s="111" t="s">
        <v>392</v>
      </c>
      <c r="DA57" s="111" t="s">
        <v>383</v>
      </c>
      <c r="DB57" s="111" t="s">
        <v>383</v>
      </c>
      <c r="DC57" s="111" t="s">
        <v>384</v>
      </c>
      <c r="DD57" s="111" t="s">
        <v>383</v>
      </c>
      <c r="DE57" s="111" t="s">
        <v>384</v>
      </c>
      <c r="DF57" s="111" t="s">
        <v>384</v>
      </c>
      <c r="DG57" s="111" t="s">
        <v>383</v>
      </c>
      <c r="DH57" s="111" t="s">
        <v>383</v>
      </c>
      <c r="DI57" s="111"/>
      <c r="DJ57" s="111" t="s">
        <v>383</v>
      </c>
      <c r="DK57" s="111" t="s">
        <v>383</v>
      </c>
      <c r="DL57" s="111" t="s">
        <v>383</v>
      </c>
      <c r="DM57" s="111" t="s">
        <v>383</v>
      </c>
      <c r="DN57" s="111"/>
      <c r="DO57" s="111" t="s">
        <v>1498</v>
      </c>
      <c r="DP57" s="111" t="s">
        <v>383</v>
      </c>
      <c r="DQ57" s="111" t="s">
        <v>383</v>
      </c>
      <c r="DR57" s="111" t="s">
        <v>384</v>
      </c>
      <c r="DS57" s="111" t="s">
        <v>383</v>
      </c>
      <c r="DT57" s="111" t="s">
        <v>383</v>
      </c>
      <c r="DU57" s="111" t="s">
        <v>383</v>
      </c>
      <c r="DV57" s="111"/>
      <c r="DW57" s="111"/>
      <c r="DX57" s="111"/>
    </row>
    <row r="58" spans="2:128" ht="75">
      <c r="B58" s="72" t="s">
        <v>371</v>
      </c>
      <c r="C58" s="111" t="s">
        <v>217</v>
      </c>
      <c r="D58" s="111" t="s">
        <v>303</v>
      </c>
      <c r="E58" s="111">
        <v>2022</v>
      </c>
      <c r="F58" s="111" t="s">
        <v>381</v>
      </c>
      <c r="G58" s="111" t="s">
        <v>272</v>
      </c>
      <c r="H58" s="127">
        <v>7.7</v>
      </c>
      <c r="I58" s="111" t="s">
        <v>688</v>
      </c>
      <c r="J58" s="130" t="s">
        <v>1232</v>
      </c>
      <c r="K58" s="111">
        <v>62</v>
      </c>
      <c r="L58" s="111" t="s">
        <v>817</v>
      </c>
      <c r="M58" s="113" t="s">
        <v>1503</v>
      </c>
      <c r="N58" s="141" t="s">
        <v>1569</v>
      </c>
      <c r="O58" s="140" t="s">
        <v>383</v>
      </c>
      <c r="P58" s="140" t="s">
        <v>384</v>
      </c>
      <c r="Q58" s="140" t="s">
        <v>383</v>
      </c>
      <c r="R58" s="140" t="s">
        <v>383</v>
      </c>
      <c r="S58" s="140" t="s">
        <v>383</v>
      </c>
      <c r="T58" s="140" t="s">
        <v>383</v>
      </c>
      <c r="U58" s="140" t="s">
        <v>383</v>
      </c>
      <c r="V58" s="111" t="s">
        <v>588</v>
      </c>
      <c r="W58" s="111">
        <v>1991</v>
      </c>
      <c r="X58" s="111">
        <v>2021</v>
      </c>
      <c r="Y58" s="111">
        <f t="shared" si="4"/>
        <v>30</v>
      </c>
      <c r="Z58" s="111">
        <f t="shared" si="5"/>
        <v>1</v>
      </c>
      <c r="AA58" s="111">
        <v>142</v>
      </c>
      <c r="AB58" s="111">
        <v>3900</v>
      </c>
      <c r="AC58" s="111">
        <v>1900000</v>
      </c>
      <c r="AD58" s="111" t="s">
        <v>818</v>
      </c>
      <c r="AE58" s="111" t="s">
        <v>383</v>
      </c>
      <c r="AF58" s="111" t="s">
        <v>383</v>
      </c>
      <c r="AG58" s="111" t="s">
        <v>383</v>
      </c>
      <c r="AH58" s="111" t="s">
        <v>384</v>
      </c>
      <c r="AI58" s="111" t="s">
        <v>819</v>
      </c>
      <c r="AJ58" s="111" t="s">
        <v>383</v>
      </c>
      <c r="AK58" s="111" t="s">
        <v>392</v>
      </c>
      <c r="AL58" s="111" t="s">
        <v>392</v>
      </c>
      <c r="AM58" s="111"/>
      <c r="AN58" s="111" t="s">
        <v>392</v>
      </c>
      <c r="AO58" s="111" t="s">
        <v>1185</v>
      </c>
      <c r="AP58" s="121" t="s">
        <v>383</v>
      </c>
      <c r="AQ58" s="121" t="s">
        <v>383</v>
      </c>
      <c r="AR58" s="121" t="s">
        <v>383</v>
      </c>
      <c r="AS58" s="121" t="s">
        <v>383</v>
      </c>
      <c r="AT58" s="121" t="s">
        <v>384</v>
      </c>
      <c r="AU58" s="121" t="s">
        <v>383</v>
      </c>
      <c r="AV58" s="121" t="s">
        <v>383</v>
      </c>
      <c r="AW58" s="111" t="s">
        <v>1139</v>
      </c>
      <c r="AX58" s="121" t="s">
        <v>384</v>
      </c>
      <c r="AY58" s="121" t="s">
        <v>383</v>
      </c>
      <c r="AZ58" s="121" t="s">
        <v>383</v>
      </c>
      <c r="BA58" s="121" t="s">
        <v>384</v>
      </c>
      <c r="BB58" s="121" t="s">
        <v>383</v>
      </c>
      <c r="BC58" s="121" t="s">
        <v>383</v>
      </c>
      <c r="BD58" s="121" t="s">
        <v>384</v>
      </c>
      <c r="BE58" s="111" t="s">
        <v>383</v>
      </c>
      <c r="BF58" s="111" t="s">
        <v>383</v>
      </c>
      <c r="BG58" s="111" t="s">
        <v>392</v>
      </c>
      <c r="BH58" s="111" t="s">
        <v>392</v>
      </c>
      <c r="BI58" s="111"/>
      <c r="BJ58" s="111" t="s">
        <v>384</v>
      </c>
      <c r="BK58" s="140" t="s">
        <v>392</v>
      </c>
      <c r="BL58" s="111" t="s">
        <v>663</v>
      </c>
      <c r="BM58" s="111" t="s">
        <v>1504</v>
      </c>
      <c r="BN58" s="111" t="s">
        <v>383</v>
      </c>
      <c r="BO58" s="111" t="s">
        <v>392</v>
      </c>
      <c r="BP58" s="111" t="s">
        <v>392</v>
      </c>
      <c r="BQ58" s="111" t="s">
        <v>392</v>
      </c>
      <c r="BR58" s="111" t="s">
        <v>392</v>
      </c>
      <c r="BS58" s="111" t="s">
        <v>1505</v>
      </c>
      <c r="BT58" s="111" t="s">
        <v>820</v>
      </c>
      <c r="BU58" s="121" t="s">
        <v>383</v>
      </c>
      <c r="BV58" s="121" t="s">
        <v>383</v>
      </c>
      <c r="BW58" s="121" t="s">
        <v>383</v>
      </c>
      <c r="BX58" s="121" t="s">
        <v>383</v>
      </c>
      <c r="BY58" s="121" t="s">
        <v>383</v>
      </c>
      <c r="BZ58" s="121" t="s">
        <v>384</v>
      </c>
      <c r="CA58" s="121" t="s">
        <v>384</v>
      </c>
      <c r="CB58" s="111" t="s">
        <v>384</v>
      </c>
      <c r="CC58" s="111" t="s">
        <v>384</v>
      </c>
      <c r="CD58" s="111" t="s">
        <v>821</v>
      </c>
      <c r="CE58" s="111" t="s">
        <v>383</v>
      </c>
      <c r="CF58" s="111" t="s">
        <v>383</v>
      </c>
      <c r="CG58" s="121" t="s">
        <v>383</v>
      </c>
      <c r="CH58" s="121" t="s">
        <v>383</v>
      </c>
      <c r="CI58" s="121" t="s">
        <v>383</v>
      </c>
      <c r="CJ58" s="121" t="s">
        <v>383</v>
      </c>
      <c r="CK58" s="121" t="s">
        <v>383</v>
      </c>
      <c r="CL58" s="111" t="s">
        <v>384</v>
      </c>
      <c r="CM58" s="111" t="s">
        <v>1096</v>
      </c>
      <c r="CN58" s="121" t="s">
        <v>383</v>
      </c>
      <c r="CO58" s="121" t="s">
        <v>383</v>
      </c>
      <c r="CP58" s="121" t="s">
        <v>383</v>
      </c>
      <c r="CQ58" s="121" t="s">
        <v>384</v>
      </c>
      <c r="CR58" s="111" t="s">
        <v>384</v>
      </c>
      <c r="CS58" s="111" t="s">
        <v>440</v>
      </c>
      <c r="CT58" s="121" t="s">
        <v>384</v>
      </c>
      <c r="CU58" s="121" t="s">
        <v>383</v>
      </c>
      <c r="CV58" s="120" t="s">
        <v>383</v>
      </c>
      <c r="CW58" s="111" t="s">
        <v>383</v>
      </c>
      <c r="CX58" s="111" t="s">
        <v>383</v>
      </c>
      <c r="CY58" s="111" t="s">
        <v>383</v>
      </c>
      <c r="CZ58" s="111" t="s">
        <v>392</v>
      </c>
      <c r="DA58" s="111" t="s">
        <v>384</v>
      </c>
      <c r="DB58" s="111" t="s">
        <v>383</v>
      </c>
      <c r="DC58" s="111" t="s">
        <v>383</v>
      </c>
      <c r="DD58" s="111" t="s">
        <v>383</v>
      </c>
      <c r="DE58" s="111" t="s">
        <v>384</v>
      </c>
      <c r="DF58" s="111" t="s">
        <v>384</v>
      </c>
      <c r="DG58" s="111" t="s">
        <v>383</v>
      </c>
      <c r="DH58" s="111" t="s">
        <v>383</v>
      </c>
      <c r="DI58" s="111"/>
      <c r="DJ58" s="111" t="s">
        <v>383</v>
      </c>
      <c r="DK58" s="111" t="s">
        <v>383</v>
      </c>
      <c r="DL58" s="111" t="s">
        <v>383</v>
      </c>
      <c r="DM58" s="111" t="s">
        <v>384</v>
      </c>
      <c r="DN58" s="111"/>
      <c r="DO58" s="111"/>
      <c r="DP58" s="111" t="s">
        <v>383</v>
      </c>
      <c r="DQ58" s="111" t="s">
        <v>383</v>
      </c>
      <c r="DR58" s="111" t="s">
        <v>383</v>
      </c>
      <c r="DS58" s="111" t="s">
        <v>383</v>
      </c>
      <c r="DT58" s="111" t="s">
        <v>383</v>
      </c>
      <c r="DU58" s="111" t="s">
        <v>383</v>
      </c>
      <c r="DV58" s="111"/>
      <c r="DW58" s="111"/>
      <c r="DX58" s="111"/>
    </row>
    <row r="59" spans="2:128" ht="75">
      <c r="B59" s="110" t="s">
        <v>351</v>
      </c>
      <c r="C59" s="111" t="s">
        <v>197</v>
      </c>
      <c r="D59" s="111" t="s">
        <v>319</v>
      </c>
      <c r="E59" s="111">
        <v>2019</v>
      </c>
      <c r="F59" s="111" t="s">
        <v>381</v>
      </c>
      <c r="G59" s="111" t="s">
        <v>252</v>
      </c>
      <c r="H59" s="127">
        <v>9.4</v>
      </c>
      <c r="I59" s="111" t="s">
        <v>668</v>
      </c>
      <c r="J59" s="133" t="s">
        <v>1231</v>
      </c>
      <c r="K59" s="111">
        <v>207</v>
      </c>
      <c r="L59" s="111" t="s">
        <v>675</v>
      </c>
      <c r="M59" s="113" t="s">
        <v>1499</v>
      </c>
      <c r="N59" s="141" t="s">
        <v>1569</v>
      </c>
      <c r="O59" s="140" t="s">
        <v>383</v>
      </c>
      <c r="P59" s="140" t="s">
        <v>384</v>
      </c>
      <c r="Q59" s="140" t="s">
        <v>383</v>
      </c>
      <c r="R59" s="140" t="s">
        <v>383</v>
      </c>
      <c r="S59" s="140" t="s">
        <v>383</v>
      </c>
      <c r="T59" s="140" t="s">
        <v>383</v>
      </c>
      <c r="U59" s="140" t="s">
        <v>383</v>
      </c>
      <c r="V59" s="111" t="s">
        <v>419</v>
      </c>
      <c r="W59" s="111">
        <v>1991</v>
      </c>
      <c r="X59" s="75">
        <v>2018</v>
      </c>
      <c r="Y59" s="111">
        <f t="shared" si="4"/>
        <v>27</v>
      </c>
      <c r="Z59" s="111">
        <f t="shared" si="5"/>
        <v>1</v>
      </c>
      <c r="AA59" s="111">
        <v>97</v>
      </c>
      <c r="AB59" s="111"/>
      <c r="AC59" s="111"/>
      <c r="AD59" s="111" t="s">
        <v>677</v>
      </c>
      <c r="AE59" s="111" t="s">
        <v>383</v>
      </c>
      <c r="AF59" s="111" t="s">
        <v>383</v>
      </c>
      <c r="AG59" s="111" t="s">
        <v>383</v>
      </c>
      <c r="AH59" s="111" t="s">
        <v>384</v>
      </c>
      <c r="AI59" s="111" t="s">
        <v>676</v>
      </c>
      <c r="AJ59" s="111" t="s">
        <v>383</v>
      </c>
      <c r="AK59" s="111" t="s">
        <v>392</v>
      </c>
      <c r="AL59" s="111" t="s">
        <v>392</v>
      </c>
      <c r="AM59" s="111"/>
      <c r="AN59" s="111" t="s">
        <v>1500</v>
      </c>
      <c r="AO59" s="111" t="s">
        <v>392</v>
      </c>
      <c r="AP59" s="121" t="s">
        <v>383</v>
      </c>
      <c r="AQ59" s="121" t="s">
        <v>383</v>
      </c>
      <c r="AR59" s="121" t="s">
        <v>383</v>
      </c>
      <c r="AS59" s="121" t="s">
        <v>383</v>
      </c>
      <c r="AT59" s="121" t="s">
        <v>383</v>
      </c>
      <c r="AU59" s="121" t="s">
        <v>383</v>
      </c>
      <c r="AV59" s="121" t="s">
        <v>383</v>
      </c>
      <c r="AW59" s="111" t="s">
        <v>1140</v>
      </c>
      <c r="AX59" s="121" t="s">
        <v>384</v>
      </c>
      <c r="AY59" s="121" t="s">
        <v>383</v>
      </c>
      <c r="AZ59" s="121" t="s">
        <v>384</v>
      </c>
      <c r="BA59" s="121" t="s">
        <v>384</v>
      </c>
      <c r="BB59" s="121" t="s">
        <v>383</v>
      </c>
      <c r="BC59" s="121" t="s">
        <v>383</v>
      </c>
      <c r="BD59" s="121" t="s">
        <v>384</v>
      </c>
      <c r="BE59" s="111" t="s">
        <v>383</v>
      </c>
      <c r="BF59" s="111" t="s">
        <v>383</v>
      </c>
      <c r="BG59" s="111" t="s">
        <v>392</v>
      </c>
      <c r="BH59" s="111" t="s">
        <v>391</v>
      </c>
      <c r="BI59" s="111"/>
      <c r="BJ59" s="111" t="s">
        <v>384</v>
      </c>
      <c r="BK59" s="140" t="s">
        <v>1632</v>
      </c>
      <c r="BL59" s="111" t="s">
        <v>679</v>
      </c>
      <c r="BM59" s="111" t="s">
        <v>1543</v>
      </c>
      <c r="BN59" s="111" t="s">
        <v>383</v>
      </c>
      <c r="BO59" s="111" t="s">
        <v>392</v>
      </c>
      <c r="BP59" s="111" t="s">
        <v>392</v>
      </c>
      <c r="BQ59" s="111" t="s">
        <v>392</v>
      </c>
      <c r="BR59" s="111" t="s">
        <v>392</v>
      </c>
      <c r="BS59" s="111" t="s">
        <v>1542</v>
      </c>
      <c r="BT59" s="111" t="s">
        <v>678</v>
      </c>
      <c r="BU59" s="121" t="s">
        <v>383</v>
      </c>
      <c r="BV59" s="121" t="s">
        <v>383</v>
      </c>
      <c r="BW59" s="121" t="s">
        <v>383</v>
      </c>
      <c r="BX59" s="121" t="s">
        <v>383</v>
      </c>
      <c r="BY59" s="121" t="s">
        <v>383</v>
      </c>
      <c r="BZ59" s="121" t="s">
        <v>384</v>
      </c>
      <c r="CA59" s="121" t="s">
        <v>383</v>
      </c>
      <c r="CB59" s="111" t="s">
        <v>383</v>
      </c>
      <c r="CC59" s="111" t="s">
        <v>384</v>
      </c>
      <c r="CD59" s="111" t="s">
        <v>1501</v>
      </c>
      <c r="CE59" s="111" t="s">
        <v>383</v>
      </c>
      <c r="CF59" s="111" t="s">
        <v>383</v>
      </c>
      <c r="CG59" s="121" t="s">
        <v>383</v>
      </c>
      <c r="CH59" s="121" t="s">
        <v>383</v>
      </c>
      <c r="CI59" s="121" t="s">
        <v>383</v>
      </c>
      <c r="CJ59" s="121" t="s">
        <v>383</v>
      </c>
      <c r="CK59" s="121" t="s">
        <v>383</v>
      </c>
      <c r="CL59" s="111" t="s">
        <v>384</v>
      </c>
      <c r="CM59" s="111" t="s">
        <v>686</v>
      </c>
      <c r="CN59" s="121" t="s">
        <v>383</v>
      </c>
      <c r="CO59" s="121" t="s">
        <v>383</v>
      </c>
      <c r="CP59" s="121" t="s">
        <v>383</v>
      </c>
      <c r="CQ59" s="121" t="s">
        <v>384</v>
      </c>
      <c r="CR59" s="111" t="s">
        <v>383</v>
      </c>
      <c r="CS59" s="111" t="s">
        <v>383</v>
      </c>
      <c r="CT59" s="121" t="s">
        <v>383</v>
      </c>
      <c r="CU59" s="121" t="s">
        <v>383</v>
      </c>
      <c r="CV59" s="120" t="s">
        <v>383</v>
      </c>
      <c r="CW59" s="111" t="s">
        <v>383</v>
      </c>
      <c r="CX59" s="111" t="s">
        <v>383</v>
      </c>
      <c r="CY59" s="111" t="s">
        <v>383</v>
      </c>
      <c r="CZ59" s="111" t="s">
        <v>392</v>
      </c>
      <c r="DA59" s="111" t="s">
        <v>383</v>
      </c>
      <c r="DB59" s="111" t="s">
        <v>383</v>
      </c>
      <c r="DC59" s="111" t="s">
        <v>383</v>
      </c>
      <c r="DD59" s="111" t="s">
        <v>383</v>
      </c>
      <c r="DE59" s="111" t="s">
        <v>383</v>
      </c>
      <c r="DF59" s="111" t="s">
        <v>383</v>
      </c>
      <c r="DG59" s="111" t="s">
        <v>383</v>
      </c>
      <c r="DH59" s="111" t="s">
        <v>383</v>
      </c>
      <c r="DI59" s="111"/>
      <c r="DJ59" s="111" t="s">
        <v>383</v>
      </c>
      <c r="DK59" s="111" t="s">
        <v>383</v>
      </c>
      <c r="DL59" s="111" t="s">
        <v>383</v>
      </c>
      <c r="DM59" s="111" t="s">
        <v>383</v>
      </c>
      <c r="DN59" s="111" t="s">
        <v>1540</v>
      </c>
      <c r="DO59" s="111" t="s">
        <v>1502</v>
      </c>
      <c r="DP59" s="111" t="s">
        <v>383</v>
      </c>
      <c r="DQ59" s="111" t="s">
        <v>383</v>
      </c>
      <c r="DR59" s="111" t="s">
        <v>383</v>
      </c>
      <c r="DS59" s="111" t="s">
        <v>384</v>
      </c>
      <c r="DT59" s="111" t="s">
        <v>383</v>
      </c>
      <c r="DU59" s="111" t="s">
        <v>383</v>
      </c>
      <c r="DV59" s="111"/>
      <c r="DW59" s="111" t="s">
        <v>1076</v>
      </c>
      <c r="DX59" s="111"/>
    </row>
    <row r="60" spans="2:128" ht="150">
      <c r="B60" s="72" t="s">
        <v>366</v>
      </c>
      <c r="C60" s="111" t="s">
        <v>212</v>
      </c>
      <c r="D60" s="111" t="s">
        <v>291</v>
      </c>
      <c r="E60" s="111">
        <v>2022</v>
      </c>
      <c r="F60" s="111" t="s">
        <v>381</v>
      </c>
      <c r="G60" s="111" t="s">
        <v>239</v>
      </c>
      <c r="H60" s="127">
        <v>9.6</v>
      </c>
      <c r="I60" s="111" t="s">
        <v>720</v>
      </c>
      <c r="J60" s="128" t="s">
        <v>522</v>
      </c>
      <c r="K60" s="111">
        <v>61</v>
      </c>
      <c r="L60" s="111" t="s">
        <v>806</v>
      </c>
      <c r="M60" s="113" t="s">
        <v>1506</v>
      </c>
      <c r="N60" s="141" t="s">
        <v>1591</v>
      </c>
      <c r="O60" s="140" t="s">
        <v>384</v>
      </c>
      <c r="P60" s="140" t="s">
        <v>384</v>
      </c>
      <c r="Q60" s="140" t="s">
        <v>383</v>
      </c>
      <c r="R60" s="140" t="s">
        <v>384</v>
      </c>
      <c r="S60" s="140" t="s">
        <v>384</v>
      </c>
      <c r="T60" s="140" t="s">
        <v>383</v>
      </c>
      <c r="U60" s="140" t="s">
        <v>383</v>
      </c>
      <c r="V60" s="111" t="s">
        <v>588</v>
      </c>
      <c r="W60" s="111">
        <v>2003</v>
      </c>
      <c r="X60" s="111">
        <v>2020</v>
      </c>
      <c r="Y60" s="111">
        <f t="shared" ref="Y60:Y65" si="8" xml:space="preserve"> X60 - W60</f>
        <v>17</v>
      </c>
      <c r="Z60" s="111">
        <f t="shared" si="5"/>
        <v>2</v>
      </c>
      <c r="AA60" s="111">
        <v>12</v>
      </c>
      <c r="AB60" s="111">
        <v>408</v>
      </c>
      <c r="AC60" s="111"/>
      <c r="AD60" s="111" t="s">
        <v>1010</v>
      </c>
      <c r="AE60" s="111" t="s">
        <v>383</v>
      </c>
      <c r="AF60" s="111" t="s">
        <v>383</v>
      </c>
      <c r="AG60" s="111" t="s">
        <v>384</v>
      </c>
      <c r="AH60" s="111" t="s">
        <v>384</v>
      </c>
      <c r="AI60" s="111" t="s">
        <v>807</v>
      </c>
      <c r="AJ60" s="111" t="s">
        <v>383</v>
      </c>
      <c r="AK60" s="111" t="s">
        <v>392</v>
      </c>
      <c r="AL60" s="111" t="s">
        <v>392</v>
      </c>
      <c r="AM60" s="111"/>
      <c r="AN60" s="111" t="s">
        <v>1507</v>
      </c>
      <c r="AO60" s="111" t="s">
        <v>1184</v>
      </c>
      <c r="AP60" s="121" t="s">
        <v>383</v>
      </c>
      <c r="AQ60" s="121" t="s">
        <v>383</v>
      </c>
      <c r="AR60" s="121" t="s">
        <v>383</v>
      </c>
      <c r="AS60" s="121" t="s">
        <v>383</v>
      </c>
      <c r="AT60" s="121" t="s">
        <v>384</v>
      </c>
      <c r="AU60" s="121" t="s">
        <v>383</v>
      </c>
      <c r="AV60" s="121" t="s">
        <v>383</v>
      </c>
      <c r="AW60" s="111" t="s">
        <v>657</v>
      </c>
      <c r="AX60" s="121" t="s">
        <v>383</v>
      </c>
      <c r="AY60" s="121" t="s">
        <v>384</v>
      </c>
      <c r="AZ60" s="121" t="s">
        <v>383</v>
      </c>
      <c r="BA60" s="121" t="s">
        <v>383</v>
      </c>
      <c r="BB60" s="121" t="s">
        <v>383</v>
      </c>
      <c r="BC60" s="121" t="s">
        <v>383</v>
      </c>
      <c r="BD60" s="121" t="s">
        <v>383</v>
      </c>
      <c r="BE60" s="111" t="s">
        <v>808</v>
      </c>
      <c r="BF60" s="111" t="s">
        <v>383</v>
      </c>
      <c r="BG60" s="111" t="s">
        <v>392</v>
      </c>
      <c r="BH60" s="111" t="s">
        <v>392</v>
      </c>
      <c r="BI60" s="111"/>
      <c r="BJ60" s="111" t="s">
        <v>383</v>
      </c>
      <c r="BK60" s="140"/>
      <c r="BL60" s="111" t="s">
        <v>392</v>
      </c>
      <c r="BM60" s="111" t="s">
        <v>392</v>
      </c>
      <c r="BN60" s="111" t="s">
        <v>383</v>
      </c>
      <c r="BO60" s="111" t="s">
        <v>392</v>
      </c>
      <c r="BP60" s="111" t="s">
        <v>392</v>
      </c>
      <c r="BQ60" s="111" t="s">
        <v>392</v>
      </c>
      <c r="BR60" s="111" t="s">
        <v>392</v>
      </c>
      <c r="BS60" s="111" t="s">
        <v>1541</v>
      </c>
      <c r="BT60" s="111" t="s">
        <v>1090</v>
      </c>
      <c r="BU60" s="121" t="s">
        <v>384</v>
      </c>
      <c r="BV60" s="121" t="s">
        <v>383</v>
      </c>
      <c r="BW60" s="121" t="s">
        <v>383</v>
      </c>
      <c r="BX60" s="121" t="s">
        <v>383</v>
      </c>
      <c r="BY60" s="121" t="s">
        <v>383</v>
      </c>
      <c r="BZ60" s="121" t="s">
        <v>383</v>
      </c>
      <c r="CA60" s="121" t="s">
        <v>383</v>
      </c>
      <c r="CB60" s="111" t="s">
        <v>383</v>
      </c>
      <c r="CC60" s="111" t="s">
        <v>384</v>
      </c>
      <c r="CD60" s="111" t="s">
        <v>811</v>
      </c>
      <c r="CE60" s="111" t="s">
        <v>383</v>
      </c>
      <c r="CF60" s="111" t="s">
        <v>383</v>
      </c>
      <c r="CG60" s="121" t="s">
        <v>383</v>
      </c>
      <c r="CH60" s="121" t="s">
        <v>383</v>
      </c>
      <c r="CI60" s="121" t="s">
        <v>383</v>
      </c>
      <c r="CJ60" s="121" t="s">
        <v>383</v>
      </c>
      <c r="CK60" s="121" t="s">
        <v>383</v>
      </c>
      <c r="CL60" s="111" t="s">
        <v>384</v>
      </c>
      <c r="CM60" s="111" t="s">
        <v>810</v>
      </c>
      <c r="CN60" s="121" t="s">
        <v>383</v>
      </c>
      <c r="CO60" s="121" t="s">
        <v>383</v>
      </c>
      <c r="CP60" s="121" t="s">
        <v>384</v>
      </c>
      <c r="CQ60" s="121" t="s">
        <v>384</v>
      </c>
      <c r="CR60" s="111" t="s">
        <v>383</v>
      </c>
      <c r="CS60" s="111" t="s">
        <v>383</v>
      </c>
      <c r="CT60" s="121" t="s">
        <v>383</v>
      </c>
      <c r="CU60" s="121" t="s">
        <v>383</v>
      </c>
      <c r="CV60" s="120" t="s">
        <v>383</v>
      </c>
      <c r="CW60" s="111" t="s">
        <v>383</v>
      </c>
      <c r="CX60" s="111" t="s">
        <v>383</v>
      </c>
      <c r="CY60" s="111" t="s">
        <v>383</v>
      </c>
      <c r="CZ60" s="111" t="s">
        <v>809</v>
      </c>
      <c r="DA60" s="111" t="s">
        <v>384</v>
      </c>
      <c r="DB60" s="111" t="s">
        <v>383</v>
      </c>
      <c r="DC60" s="111" t="s">
        <v>384</v>
      </c>
      <c r="DD60" s="111" t="s">
        <v>383</v>
      </c>
      <c r="DE60" s="111" t="s">
        <v>384</v>
      </c>
      <c r="DF60" s="111" t="s">
        <v>383</v>
      </c>
      <c r="DG60" s="111" t="s">
        <v>383</v>
      </c>
      <c r="DH60" s="111" t="s">
        <v>384</v>
      </c>
      <c r="DI60" s="111"/>
      <c r="DJ60" s="111" t="s">
        <v>383</v>
      </c>
      <c r="DK60" s="111" t="s">
        <v>383</v>
      </c>
      <c r="DL60" s="111" t="s">
        <v>383</v>
      </c>
      <c r="DM60" s="111" t="s">
        <v>384</v>
      </c>
      <c r="DN60" s="111" t="s">
        <v>1508</v>
      </c>
      <c r="DO60" s="111" t="s">
        <v>1509</v>
      </c>
      <c r="DP60" s="111" t="s">
        <v>383</v>
      </c>
      <c r="DQ60" s="111" t="s">
        <v>383</v>
      </c>
      <c r="DR60" s="111" t="s">
        <v>383</v>
      </c>
      <c r="DS60" s="111" t="s">
        <v>383</v>
      </c>
      <c r="DT60" s="111" t="s">
        <v>383</v>
      </c>
      <c r="DU60" s="111" t="s">
        <v>383</v>
      </c>
      <c r="DV60" s="111"/>
      <c r="DW60" s="111" t="s">
        <v>1510</v>
      </c>
      <c r="DX60" s="111"/>
    </row>
    <row r="61" spans="2:128" ht="75">
      <c r="B61" s="72" t="s">
        <v>355</v>
      </c>
      <c r="C61" s="111" t="s">
        <v>201</v>
      </c>
      <c r="D61" s="111" t="s">
        <v>448</v>
      </c>
      <c r="E61" s="111">
        <v>2021</v>
      </c>
      <c r="F61" s="111" t="s">
        <v>381</v>
      </c>
      <c r="G61" s="115" t="s">
        <v>260</v>
      </c>
      <c r="H61" s="127">
        <v>5.8</v>
      </c>
      <c r="I61" s="111" t="s">
        <v>890</v>
      </c>
      <c r="J61" s="128" t="s">
        <v>1230</v>
      </c>
      <c r="K61" s="111">
        <v>57</v>
      </c>
      <c r="L61" s="111" t="s">
        <v>891</v>
      </c>
      <c r="M61" s="113" t="s">
        <v>1511</v>
      </c>
      <c r="N61" s="141" t="s">
        <v>1577</v>
      </c>
      <c r="O61" s="140" t="s">
        <v>383</v>
      </c>
      <c r="P61" s="140" t="s">
        <v>384</v>
      </c>
      <c r="Q61" s="140" t="s">
        <v>383</v>
      </c>
      <c r="R61" s="140" t="s">
        <v>384</v>
      </c>
      <c r="S61" s="140" t="s">
        <v>383</v>
      </c>
      <c r="T61" s="140" t="s">
        <v>383</v>
      </c>
      <c r="U61" s="140" t="s">
        <v>383</v>
      </c>
      <c r="V61" s="111" t="s">
        <v>583</v>
      </c>
      <c r="W61" s="111">
        <v>2013</v>
      </c>
      <c r="X61" s="111">
        <v>2020</v>
      </c>
      <c r="Y61" s="111">
        <f t="shared" si="8"/>
        <v>7</v>
      </c>
      <c r="Z61" s="111">
        <f t="shared" si="5"/>
        <v>1</v>
      </c>
      <c r="AA61" s="111">
        <v>10</v>
      </c>
      <c r="AB61" s="111">
        <v>131</v>
      </c>
      <c r="AC61" s="111">
        <v>4711</v>
      </c>
      <c r="AD61" s="111" t="s">
        <v>892</v>
      </c>
      <c r="AE61" s="111" t="s">
        <v>384</v>
      </c>
      <c r="AF61" s="111" t="s">
        <v>893</v>
      </c>
      <c r="AG61" s="111" t="s">
        <v>383</v>
      </c>
      <c r="AH61" s="111" t="s">
        <v>384</v>
      </c>
      <c r="AI61" s="111" t="s">
        <v>894</v>
      </c>
      <c r="AJ61" s="111" t="s">
        <v>384</v>
      </c>
      <c r="AK61" s="111" t="s">
        <v>392</v>
      </c>
      <c r="AL61" s="111" t="s">
        <v>392</v>
      </c>
      <c r="AM61" s="111">
        <v>100</v>
      </c>
      <c r="AN61" s="111" t="s">
        <v>392</v>
      </c>
      <c r="AO61" s="111" t="s">
        <v>1013</v>
      </c>
      <c r="AP61" s="121" t="s">
        <v>384</v>
      </c>
      <c r="AQ61" s="121" t="s">
        <v>383</v>
      </c>
      <c r="AR61" s="121" t="s">
        <v>383</v>
      </c>
      <c r="AS61" s="121" t="s">
        <v>383</v>
      </c>
      <c r="AT61" s="121" t="s">
        <v>383</v>
      </c>
      <c r="AU61" s="121" t="s">
        <v>383</v>
      </c>
      <c r="AV61" s="121" t="s">
        <v>383</v>
      </c>
      <c r="AW61" s="111" t="s">
        <v>633</v>
      </c>
      <c r="AX61" s="121" t="s">
        <v>383</v>
      </c>
      <c r="AY61" s="121" t="s">
        <v>383</v>
      </c>
      <c r="AZ61" s="121" t="s">
        <v>383</v>
      </c>
      <c r="BA61" s="121" t="s">
        <v>384</v>
      </c>
      <c r="BB61" s="121" t="s">
        <v>383</v>
      </c>
      <c r="BC61" s="121" t="s">
        <v>383</v>
      </c>
      <c r="BD61" s="121" t="s">
        <v>383</v>
      </c>
      <c r="BE61" s="111" t="s">
        <v>383</v>
      </c>
      <c r="BF61" s="111" t="s">
        <v>384</v>
      </c>
      <c r="BG61" s="111" t="s">
        <v>895</v>
      </c>
      <c r="BH61" s="111" t="s">
        <v>896</v>
      </c>
      <c r="BI61" s="111">
        <v>100</v>
      </c>
      <c r="BJ61" s="111" t="s">
        <v>384</v>
      </c>
      <c r="BK61" s="140" t="s">
        <v>1633</v>
      </c>
      <c r="BL61" s="111" t="s">
        <v>1018</v>
      </c>
      <c r="BM61" s="111" t="s">
        <v>1512</v>
      </c>
      <c r="BN61" s="111" t="s">
        <v>384</v>
      </c>
      <c r="BO61" s="111" t="s">
        <v>479</v>
      </c>
      <c r="BP61" s="111" t="s">
        <v>897</v>
      </c>
      <c r="BQ61" s="111" t="s">
        <v>432</v>
      </c>
      <c r="BR61" s="111" t="s">
        <v>898</v>
      </c>
      <c r="BS61" s="111" t="s">
        <v>1513</v>
      </c>
      <c r="BT61" s="111" t="s">
        <v>438</v>
      </c>
      <c r="BU61" s="121" t="s">
        <v>384</v>
      </c>
      <c r="BV61" s="121" t="s">
        <v>383</v>
      </c>
      <c r="BW61" s="121" t="s">
        <v>383</v>
      </c>
      <c r="BX61" s="121" t="s">
        <v>383</v>
      </c>
      <c r="BY61" s="121" t="s">
        <v>383</v>
      </c>
      <c r="BZ61" s="121" t="s">
        <v>383</v>
      </c>
      <c r="CA61" s="121" t="s">
        <v>383</v>
      </c>
      <c r="CB61" s="111" t="s">
        <v>383</v>
      </c>
      <c r="CC61" s="111" t="s">
        <v>384</v>
      </c>
      <c r="CD61" s="111" t="s">
        <v>821</v>
      </c>
      <c r="CE61" s="111" t="s">
        <v>384</v>
      </c>
      <c r="CF61" s="111" t="s">
        <v>899</v>
      </c>
      <c r="CG61" s="121" t="s">
        <v>383</v>
      </c>
      <c r="CH61" s="121" t="s">
        <v>383</v>
      </c>
      <c r="CI61" s="121" t="s">
        <v>383</v>
      </c>
      <c r="CJ61" s="121" t="s">
        <v>384</v>
      </c>
      <c r="CK61" s="121" t="s">
        <v>383</v>
      </c>
      <c r="CL61" s="111" t="s">
        <v>384</v>
      </c>
      <c r="CM61" s="111" t="s">
        <v>658</v>
      </c>
      <c r="CN61" s="121" t="s">
        <v>384</v>
      </c>
      <c r="CO61" s="121" t="s">
        <v>383</v>
      </c>
      <c r="CP61" s="121" t="s">
        <v>383</v>
      </c>
      <c r="CQ61" s="121" t="s">
        <v>383</v>
      </c>
      <c r="CR61" s="111" t="s">
        <v>383</v>
      </c>
      <c r="CS61" s="111" t="s">
        <v>383</v>
      </c>
      <c r="CT61" s="121" t="s">
        <v>383</v>
      </c>
      <c r="CU61" s="121" t="s">
        <v>383</v>
      </c>
      <c r="CV61" s="120" t="s">
        <v>383</v>
      </c>
      <c r="CW61" s="111" t="s">
        <v>383</v>
      </c>
      <c r="CX61" s="111" t="s">
        <v>383</v>
      </c>
      <c r="CY61" s="111" t="s">
        <v>383</v>
      </c>
      <c r="CZ61" s="111" t="s">
        <v>900</v>
      </c>
      <c r="DA61" s="111" t="s">
        <v>384</v>
      </c>
      <c r="DB61" s="111" t="s">
        <v>383</v>
      </c>
      <c r="DC61" s="111" t="s">
        <v>384</v>
      </c>
      <c r="DD61" s="111" t="s">
        <v>383</v>
      </c>
      <c r="DE61" s="111" t="s">
        <v>384</v>
      </c>
      <c r="DF61" s="111" t="s">
        <v>384</v>
      </c>
      <c r="DG61" s="111" t="s">
        <v>383</v>
      </c>
      <c r="DH61" s="111" t="s">
        <v>384</v>
      </c>
      <c r="DI61" s="111"/>
      <c r="DJ61" s="111" t="s">
        <v>383</v>
      </c>
      <c r="DK61" s="111" t="s">
        <v>383</v>
      </c>
      <c r="DL61" s="111" t="s">
        <v>383</v>
      </c>
      <c r="DM61" s="111" t="s">
        <v>383</v>
      </c>
      <c r="DN61" s="111"/>
      <c r="DO61" s="111" t="s">
        <v>1514</v>
      </c>
      <c r="DP61" s="111" t="s">
        <v>383</v>
      </c>
      <c r="DQ61" s="111" t="s">
        <v>384</v>
      </c>
      <c r="DR61" s="111" t="s">
        <v>383</v>
      </c>
      <c r="DS61" s="111" t="s">
        <v>383</v>
      </c>
      <c r="DT61" s="111" t="s">
        <v>383</v>
      </c>
      <c r="DU61" s="111" t="s">
        <v>383</v>
      </c>
      <c r="DV61" s="111"/>
      <c r="DW61" s="111"/>
      <c r="DX61" s="111" t="s">
        <v>1515</v>
      </c>
    </row>
    <row r="62" spans="2:128" ht="105">
      <c r="B62" s="72" t="s">
        <v>378</v>
      </c>
      <c r="C62" s="76" t="s">
        <v>223</v>
      </c>
      <c r="D62" s="72" t="s">
        <v>298</v>
      </c>
      <c r="E62" s="76">
        <v>2024</v>
      </c>
      <c r="F62" s="76" t="s">
        <v>381</v>
      </c>
      <c r="G62" s="76" t="s">
        <v>231</v>
      </c>
      <c r="H62" s="127">
        <v>4</v>
      </c>
      <c r="I62" s="109" t="s">
        <v>946</v>
      </c>
      <c r="J62" s="127" t="s">
        <v>522</v>
      </c>
      <c r="K62" s="76">
        <v>1</v>
      </c>
      <c r="L62" s="76" t="s">
        <v>581</v>
      </c>
      <c r="M62" s="92" t="s">
        <v>582</v>
      </c>
      <c r="N62" s="141" t="s">
        <v>1590</v>
      </c>
      <c r="O62" s="140" t="s">
        <v>384</v>
      </c>
      <c r="P62" s="140" t="s">
        <v>384</v>
      </c>
      <c r="Q62" s="140" t="s">
        <v>384</v>
      </c>
      <c r="R62" s="140" t="s">
        <v>1570</v>
      </c>
      <c r="S62" s="140" t="s">
        <v>383</v>
      </c>
      <c r="T62" s="140" t="s">
        <v>383</v>
      </c>
      <c r="U62" s="140" t="s">
        <v>383</v>
      </c>
      <c r="V62" s="76" t="s">
        <v>583</v>
      </c>
      <c r="W62" s="76">
        <v>2015</v>
      </c>
      <c r="X62" s="76">
        <v>2023</v>
      </c>
      <c r="Y62" s="76">
        <f t="shared" si="8"/>
        <v>8</v>
      </c>
      <c r="Z62" s="76">
        <f t="shared" si="5"/>
        <v>1</v>
      </c>
      <c r="AA62" s="76">
        <v>22</v>
      </c>
      <c r="AB62" s="76">
        <v>794</v>
      </c>
      <c r="AC62" s="76">
        <v>190027</v>
      </c>
      <c r="AD62" s="76" t="s">
        <v>1011</v>
      </c>
      <c r="AE62" s="76" t="s">
        <v>383</v>
      </c>
      <c r="AF62" s="76" t="s">
        <v>383</v>
      </c>
      <c r="AG62" s="76" t="s">
        <v>384</v>
      </c>
      <c r="AH62" s="76" t="s">
        <v>384</v>
      </c>
      <c r="AI62" s="76" t="s">
        <v>584</v>
      </c>
      <c r="AJ62" s="76" t="s">
        <v>383</v>
      </c>
      <c r="AK62" s="76" t="s">
        <v>392</v>
      </c>
      <c r="AL62" s="76" t="s">
        <v>392</v>
      </c>
      <c r="AM62" s="76"/>
      <c r="AN62" s="76" t="s">
        <v>1516</v>
      </c>
      <c r="AO62" s="76" t="s">
        <v>392</v>
      </c>
      <c r="AP62" s="120" t="s">
        <v>383</v>
      </c>
      <c r="AQ62" s="120" t="s">
        <v>383</v>
      </c>
      <c r="AR62" s="120" t="s">
        <v>383</v>
      </c>
      <c r="AS62" s="120" t="s">
        <v>383</v>
      </c>
      <c r="AT62" s="120" t="s">
        <v>383</v>
      </c>
      <c r="AU62" s="120" t="s">
        <v>383</v>
      </c>
      <c r="AV62" s="120" t="s">
        <v>383</v>
      </c>
      <c r="AW62" s="76" t="s">
        <v>1141</v>
      </c>
      <c r="AX62" s="120" t="s">
        <v>384</v>
      </c>
      <c r="AY62" s="120" t="s">
        <v>384</v>
      </c>
      <c r="AZ62" s="120" t="s">
        <v>384</v>
      </c>
      <c r="BA62" s="120" t="s">
        <v>383</v>
      </c>
      <c r="BB62" s="120" t="s">
        <v>383</v>
      </c>
      <c r="BC62" s="120" t="s">
        <v>383</v>
      </c>
      <c r="BD62" s="120" t="s">
        <v>383</v>
      </c>
      <c r="BE62" s="76" t="s">
        <v>383</v>
      </c>
      <c r="BF62" s="76" t="s">
        <v>384</v>
      </c>
      <c r="BG62" s="76" t="s">
        <v>392</v>
      </c>
      <c r="BH62" s="76" t="s">
        <v>392</v>
      </c>
      <c r="BI62" s="76"/>
      <c r="BJ62" s="76" t="s">
        <v>384</v>
      </c>
      <c r="BK62" s="140" t="s">
        <v>1634</v>
      </c>
      <c r="BL62" s="76" t="s">
        <v>1517</v>
      </c>
      <c r="BM62" s="76" t="s">
        <v>1518</v>
      </c>
      <c r="BN62" s="76" t="s">
        <v>384</v>
      </c>
      <c r="BO62" s="76" t="s">
        <v>549</v>
      </c>
      <c r="BP62" s="76" t="s">
        <v>325</v>
      </c>
      <c r="BQ62" s="76" t="s">
        <v>1519</v>
      </c>
      <c r="BR62" s="76" t="s">
        <v>386</v>
      </c>
      <c r="BS62" s="76" t="s">
        <v>1520</v>
      </c>
      <c r="BT62" s="76" t="s">
        <v>438</v>
      </c>
      <c r="BU62" s="120" t="s">
        <v>384</v>
      </c>
      <c r="BV62" s="120" t="s">
        <v>383</v>
      </c>
      <c r="BW62" s="120" t="s">
        <v>383</v>
      </c>
      <c r="BX62" s="120" t="s">
        <v>383</v>
      </c>
      <c r="BY62" s="120" t="s">
        <v>383</v>
      </c>
      <c r="BZ62" s="120" t="s">
        <v>383</v>
      </c>
      <c r="CA62" s="120" t="s">
        <v>383</v>
      </c>
      <c r="CB62" s="76" t="s">
        <v>383</v>
      </c>
      <c r="CC62" s="76" t="s">
        <v>434</v>
      </c>
      <c r="CD62" s="76" t="s">
        <v>383</v>
      </c>
      <c r="CE62" s="76" t="s">
        <v>384</v>
      </c>
      <c r="CF62" s="76" t="s">
        <v>1051</v>
      </c>
      <c r="CG62" s="121" t="s">
        <v>383</v>
      </c>
      <c r="CH62" s="121" t="s">
        <v>384</v>
      </c>
      <c r="CI62" s="121" t="s">
        <v>383</v>
      </c>
      <c r="CJ62" s="121" t="s">
        <v>383</v>
      </c>
      <c r="CK62" s="121" t="s">
        <v>384</v>
      </c>
      <c r="CL62" s="76" t="s">
        <v>384</v>
      </c>
      <c r="CM62" s="76" t="s">
        <v>599</v>
      </c>
      <c r="CN62" s="120" t="s">
        <v>384</v>
      </c>
      <c r="CO62" s="120" t="s">
        <v>384</v>
      </c>
      <c r="CP62" s="120" t="s">
        <v>384</v>
      </c>
      <c r="CQ62" s="120" t="s">
        <v>383</v>
      </c>
      <c r="CR62" s="76" t="s">
        <v>384</v>
      </c>
      <c r="CS62" s="76" t="s">
        <v>1055</v>
      </c>
      <c r="CT62" s="120" t="s">
        <v>384</v>
      </c>
      <c r="CU62" s="120" t="s">
        <v>384</v>
      </c>
      <c r="CV62" s="120" t="s">
        <v>383</v>
      </c>
      <c r="CW62" s="76" t="s">
        <v>384</v>
      </c>
      <c r="CX62" s="76" t="s">
        <v>383</v>
      </c>
      <c r="CY62" s="76" t="s">
        <v>383</v>
      </c>
      <c r="CZ62" s="76" t="s">
        <v>585</v>
      </c>
      <c r="DA62" s="76" t="s">
        <v>384</v>
      </c>
      <c r="DB62" s="76" t="s">
        <v>383</v>
      </c>
      <c r="DC62" s="76" t="s">
        <v>384</v>
      </c>
      <c r="DD62" s="76" t="s">
        <v>383</v>
      </c>
      <c r="DE62" s="76" t="s">
        <v>384</v>
      </c>
      <c r="DF62" s="75" t="s">
        <v>384</v>
      </c>
      <c r="DG62" s="76" t="s">
        <v>384</v>
      </c>
      <c r="DH62" s="76" t="s">
        <v>383</v>
      </c>
      <c r="DI62" s="76"/>
      <c r="DJ62" s="76" t="s">
        <v>383</v>
      </c>
      <c r="DK62" s="76" t="s">
        <v>383</v>
      </c>
      <c r="DL62" s="76" t="s">
        <v>383</v>
      </c>
      <c r="DM62" s="76" t="s">
        <v>383</v>
      </c>
      <c r="DN62" s="76" t="s">
        <v>1521</v>
      </c>
      <c r="DO62" s="76" t="s">
        <v>1522</v>
      </c>
      <c r="DP62" s="76" t="s">
        <v>383</v>
      </c>
      <c r="DQ62" s="76" t="s">
        <v>383</v>
      </c>
      <c r="DR62" s="76" t="s">
        <v>383</v>
      </c>
      <c r="DS62" s="76" t="s">
        <v>383</v>
      </c>
      <c r="DT62" s="76" t="s">
        <v>383</v>
      </c>
      <c r="DU62" s="76" t="s">
        <v>383</v>
      </c>
      <c r="DV62" s="76"/>
      <c r="DW62" s="111" t="s">
        <v>1057</v>
      </c>
      <c r="DX62" s="76" t="s">
        <v>598</v>
      </c>
    </row>
    <row r="63" spans="2:128" ht="120">
      <c r="B63" s="110" t="s">
        <v>328</v>
      </c>
      <c r="C63" s="111" t="s">
        <v>174</v>
      </c>
      <c r="D63" s="111" t="s">
        <v>279</v>
      </c>
      <c r="E63" s="111">
        <v>2017</v>
      </c>
      <c r="F63" s="111" t="s">
        <v>381</v>
      </c>
      <c r="G63" s="111" t="s">
        <v>239</v>
      </c>
      <c r="H63" s="127">
        <v>9.6</v>
      </c>
      <c r="I63" s="111" t="s">
        <v>720</v>
      </c>
      <c r="J63" s="127" t="s">
        <v>522</v>
      </c>
      <c r="K63" s="111">
        <v>104</v>
      </c>
      <c r="L63" s="111" t="s">
        <v>729</v>
      </c>
      <c r="M63" s="113" t="s">
        <v>1523</v>
      </c>
      <c r="N63" s="141" t="s">
        <v>1592</v>
      </c>
      <c r="O63" s="140" t="s">
        <v>383</v>
      </c>
      <c r="P63" s="140" t="s">
        <v>384</v>
      </c>
      <c r="Q63" s="140" t="s">
        <v>383</v>
      </c>
      <c r="R63" s="140" t="s">
        <v>383</v>
      </c>
      <c r="S63" s="140" t="s">
        <v>383</v>
      </c>
      <c r="T63" s="140" t="s">
        <v>383</v>
      </c>
      <c r="U63" s="140" t="s">
        <v>384</v>
      </c>
      <c r="V63" s="111" t="s">
        <v>588</v>
      </c>
      <c r="W63" s="111">
        <v>1986</v>
      </c>
      <c r="X63" s="111">
        <v>2015</v>
      </c>
      <c r="Y63" s="111">
        <f t="shared" si="8"/>
        <v>29</v>
      </c>
      <c r="Z63" s="111">
        <f t="shared" si="5"/>
        <v>2</v>
      </c>
      <c r="AA63" s="111">
        <v>19</v>
      </c>
      <c r="AB63" s="111">
        <v>663</v>
      </c>
      <c r="AC63" s="111">
        <v>141733</v>
      </c>
      <c r="AD63" s="111" t="s">
        <v>730</v>
      </c>
      <c r="AE63" s="111" t="s">
        <v>384</v>
      </c>
      <c r="AF63" s="111" t="s">
        <v>573</v>
      </c>
      <c r="AG63" s="111" t="s">
        <v>384</v>
      </c>
      <c r="AH63" s="111" t="s">
        <v>384</v>
      </c>
      <c r="AI63" s="111" t="s">
        <v>731</v>
      </c>
      <c r="AJ63" s="111" t="s">
        <v>383</v>
      </c>
      <c r="AK63" s="111" t="s">
        <v>392</v>
      </c>
      <c r="AL63" s="111" t="s">
        <v>392</v>
      </c>
      <c r="AM63" s="111"/>
      <c r="AN63" s="111" t="s">
        <v>1524</v>
      </c>
      <c r="AO63" s="111" t="s">
        <v>392</v>
      </c>
      <c r="AP63" s="120" t="s">
        <v>383</v>
      </c>
      <c r="AQ63" s="120" t="s">
        <v>383</v>
      </c>
      <c r="AR63" s="120" t="s">
        <v>383</v>
      </c>
      <c r="AS63" s="120" t="s">
        <v>383</v>
      </c>
      <c r="AT63" s="120" t="s">
        <v>383</v>
      </c>
      <c r="AU63" s="120" t="s">
        <v>383</v>
      </c>
      <c r="AV63" s="120" t="s">
        <v>383</v>
      </c>
      <c r="AW63" s="111" t="s">
        <v>1142</v>
      </c>
      <c r="AX63" s="121" t="s">
        <v>383</v>
      </c>
      <c r="AY63" s="121" t="s">
        <v>384</v>
      </c>
      <c r="AZ63" s="121" t="s">
        <v>384</v>
      </c>
      <c r="BA63" s="121" t="s">
        <v>383</v>
      </c>
      <c r="BB63" s="121" t="s">
        <v>383</v>
      </c>
      <c r="BC63" s="121" t="s">
        <v>383</v>
      </c>
      <c r="BD63" s="121" t="s">
        <v>383</v>
      </c>
      <c r="BE63" s="111" t="s">
        <v>383</v>
      </c>
      <c r="BF63" s="111" t="s">
        <v>384</v>
      </c>
      <c r="BG63" s="111" t="s">
        <v>1017</v>
      </c>
      <c r="BH63" s="111" t="s">
        <v>732</v>
      </c>
      <c r="BI63" s="114" t="s">
        <v>392</v>
      </c>
      <c r="BJ63" s="111" t="s">
        <v>384</v>
      </c>
      <c r="BK63" s="140" t="s">
        <v>1635</v>
      </c>
      <c r="BL63" s="111" t="s">
        <v>663</v>
      </c>
      <c r="BM63" s="111" t="s">
        <v>1525</v>
      </c>
      <c r="BN63" s="111" t="s">
        <v>384</v>
      </c>
      <c r="BO63" s="111" t="s">
        <v>479</v>
      </c>
      <c r="BP63" s="111" t="s">
        <v>733</v>
      </c>
      <c r="BQ63" s="111" t="s">
        <v>734</v>
      </c>
      <c r="BR63" s="111" t="s">
        <v>386</v>
      </c>
      <c r="BS63" s="111" t="s">
        <v>1526</v>
      </c>
      <c r="BT63" s="111" t="s">
        <v>438</v>
      </c>
      <c r="BU63" s="121" t="s">
        <v>384</v>
      </c>
      <c r="BV63" s="121" t="s">
        <v>383</v>
      </c>
      <c r="BW63" s="121" t="s">
        <v>383</v>
      </c>
      <c r="BX63" s="121" t="s">
        <v>383</v>
      </c>
      <c r="BY63" s="121" t="s">
        <v>383</v>
      </c>
      <c r="BZ63" s="121" t="s">
        <v>383</v>
      </c>
      <c r="CA63" s="121" t="s">
        <v>383</v>
      </c>
      <c r="CB63" s="111" t="s">
        <v>384</v>
      </c>
      <c r="CC63" s="111" t="s">
        <v>383</v>
      </c>
      <c r="CD63" s="111" t="s">
        <v>383</v>
      </c>
      <c r="CE63" s="111" t="s">
        <v>384</v>
      </c>
      <c r="CF63" s="111" t="s">
        <v>383</v>
      </c>
      <c r="CG63" s="121" t="s">
        <v>383</v>
      </c>
      <c r="CH63" s="121" t="s">
        <v>383</v>
      </c>
      <c r="CI63" s="121" t="s">
        <v>383</v>
      </c>
      <c r="CJ63" s="121" t="s">
        <v>383</v>
      </c>
      <c r="CK63" s="121" t="s">
        <v>383</v>
      </c>
      <c r="CL63" s="111" t="s">
        <v>384</v>
      </c>
      <c r="CM63" s="111" t="s">
        <v>393</v>
      </c>
      <c r="CN63" s="121" t="s">
        <v>384</v>
      </c>
      <c r="CO63" s="121" t="s">
        <v>384</v>
      </c>
      <c r="CP63" s="121" t="s">
        <v>383</v>
      </c>
      <c r="CQ63" s="121" t="s">
        <v>383</v>
      </c>
      <c r="CR63" s="111" t="s">
        <v>384</v>
      </c>
      <c r="CS63" s="111" t="s">
        <v>736</v>
      </c>
      <c r="CT63" s="121" t="s">
        <v>383</v>
      </c>
      <c r="CU63" s="121" t="s">
        <v>384</v>
      </c>
      <c r="CV63" s="120" t="s">
        <v>383</v>
      </c>
      <c r="CW63" s="111" t="s">
        <v>384</v>
      </c>
      <c r="CX63" s="111" t="s">
        <v>383</v>
      </c>
      <c r="CY63" s="111" t="s">
        <v>383</v>
      </c>
      <c r="CZ63" s="111" t="s">
        <v>735</v>
      </c>
      <c r="DA63" s="111" t="s">
        <v>384</v>
      </c>
      <c r="DB63" s="111" t="s">
        <v>383</v>
      </c>
      <c r="DC63" s="111" t="s">
        <v>384</v>
      </c>
      <c r="DD63" s="111" t="s">
        <v>383</v>
      </c>
      <c r="DE63" s="111" t="s">
        <v>384</v>
      </c>
      <c r="DF63" s="111" t="s">
        <v>383</v>
      </c>
      <c r="DG63" s="111" t="s">
        <v>384</v>
      </c>
      <c r="DH63" s="111" t="s">
        <v>383</v>
      </c>
      <c r="DI63" s="111"/>
      <c r="DJ63" s="111" t="s">
        <v>383</v>
      </c>
      <c r="DK63" s="111" t="s">
        <v>383</v>
      </c>
      <c r="DL63" s="111" t="s">
        <v>384</v>
      </c>
      <c r="DM63" s="111" t="s">
        <v>383</v>
      </c>
      <c r="DN63" s="111" t="s">
        <v>1527</v>
      </c>
      <c r="DO63" s="111" t="s">
        <v>1528</v>
      </c>
      <c r="DP63" s="111" t="s">
        <v>383</v>
      </c>
      <c r="DQ63" s="111" t="s">
        <v>383</v>
      </c>
      <c r="DR63" s="111" t="s">
        <v>383</v>
      </c>
      <c r="DS63" s="111" t="s">
        <v>383</v>
      </c>
      <c r="DT63" s="111" t="s">
        <v>383</v>
      </c>
      <c r="DU63" s="111" t="s">
        <v>383</v>
      </c>
      <c r="DV63" s="111"/>
      <c r="DW63" s="111"/>
      <c r="DX63" s="111"/>
    </row>
    <row r="64" spans="2:128" ht="45">
      <c r="B64" s="72" t="s">
        <v>379</v>
      </c>
      <c r="C64" s="76" t="s">
        <v>224</v>
      </c>
      <c r="D64" s="72" t="s">
        <v>297</v>
      </c>
      <c r="E64" s="76">
        <v>2024</v>
      </c>
      <c r="F64" s="76" t="s">
        <v>381</v>
      </c>
      <c r="G64" s="76" t="s">
        <v>232</v>
      </c>
      <c r="H64" s="127">
        <v>4.3</v>
      </c>
      <c r="I64" s="76" t="s">
        <v>411</v>
      </c>
      <c r="J64" s="130" t="s">
        <v>1232</v>
      </c>
      <c r="K64" s="76">
        <v>4</v>
      </c>
      <c r="L64" s="76" t="s">
        <v>389</v>
      </c>
      <c r="M64" s="92" t="s">
        <v>412</v>
      </c>
      <c r="N64" s="141" t="s">
        <v>1569</v>
      </c>
      <c r="O64" s="140" t="s">
        <v>383</v>
      </c>
      <c r="P64" s="140" t="s">
        <v>384</v>
      </c>
      <c r="Q64" s="140" t="s">
        <v>383</v>
      </c>
      <c r="R64" s="140" t="s">
        <v>383</v>
      </c>
      <c r="S64" s="140" t="s">
        <v>383</v>
      </c>
      <c r="T64" s="140" t="s">
        <v>383</v>
      </c>
      <c r="U64" s="140" t="s">
        <v>383</v>
      </c>
      <c r="V64" s="76" t="s">
        <v>390</v>
      </c>
      <c r="W64" s="76">
        <v>1993</v>
      </c>
      <c r="X64" s="76">
        <v>2022</v>
      </c>
      <c r="Y64" s="76">
        <f t="shared" si="8"/>
        <v>29</v>
      </c>
      <c r="Z64" s="76">
        <f t="shared" si="5"/>
        <v>2</v>
      </c>
      <c r="AA64" s="76">
        <v>40</v>
      </c>
      <c r="AB64" s="111">
        <v>2270</v>
      </c>
      <c r="AC64" s="111">
        <v>1057048</v>
      </c>
      <c r="AD64" s="76" t="s">
        <v>413</v>
      </c>
      <c r="AE64" s="76" t="s">
        <v>383</v>
      </c>
      <c r="AF64" s="76" t="s">
        <v>383</v>
      </c>
      <c r="AG64" s="76" t="s">
        <v>384</v>
      </c>
      <c r="AH64" s="76" t="s">
        <v>384</v>
      </c>
      <c r="AI64" s="76" t="s">
        <v>397</v>
      </c>
      <c r="AJ64" s="76" t="s">
        <v>383</v>
      </c>
      <c r="AK64" s="76" t="s">
        <v>391</v>
      </c>
      <c r="AL64" s="76" t="s">
        <v>391</v>
      </c>
      <c r="AM64" s="76"/>
      <c r="AN64" s="76" t="s">
        <v>1529</v>
      </c>
      <c r="AO64" s="76" t="s">
        <v>1183</v>
      </c>
      <c r="AP64" s="120" t="s">
        <v>383</v>
      </c>
      <c r="AQ64" s="120" t="s">
        <v>383</v>
      </c>
      <c r="AR64" s="120" t="s">
        <v>383</v>
      </c>
      <c r="AS64" s="120" t="s">
        <v>383</v>
      </c>
      <c r="AT64" s="120" t="s">
        <v>384</v>
      </c>
      <c r="AU64" s="120" t="s">
        <v>383</v>
      </c>
      <c r="AV64" s="120" t="s">
        <v>383</v>
      </c>
      <c r="AW64" s="76" t="s">
        <v>989</v>
      </c>
      <c r="AX64" s="120" t="s">
        <v>384</v>
      </c>
      <c r="AY64" s="120" t="s">
        <v>383</v>
      </c>
      <c r="AZ64" s="120" t="s">
        <v>383</v>
      </c>
      <c r="BA64" s="120" t="s">
        <v>383</v>
      </c>
      <c r="BB64" s="120" t="s">
        <v>383</v>
      </c>
      <c r="BC64" s="120" t="s">
        <v>383</v>
      </c>
      <c r="BD64" s="120" t="s">
        <v>383</v>
      </c>
      <c r="BE64" s="76" t="s">
        <v>383</v>
      </c>
      <c r="BF64" s="76" t="s">
        <v>383</v>
      </c>
      <c r="BG64" s="76" t="s">
        <v>391</v>
      </c>
      <c r="BH64" s="76" t="s">
        <v>391</v>
      </c>
      <c r="BI64" s="76"/>
      <c r="BJ64" s="76" t="s">
        <v>384</v>
      </c>
      <c r="BK64" s="140" t="s">
        <v>1640</v>
      </c>
      <c r="BL64" s="76" t="s">
        <v>398</v>
      </c>
      <c r="BM64" s="76" t="s">
        <v>414</v>
      </c>
      <c r="BN64" s="76" t="s">
        <v>383</v>
      </c>
      <c r="BO64" s="76" t="s">
        <v>392</v>
      </c>
      <c r="BP64" s="76" t="s">
        <v>392</v>
      </c>
      <c r="BQ64" s="76" t="s">
        <v>392</v>
      </c>
      <c r="BR64" s="75" t="s">
        <v>392</v>
      </c>
      <c r="BS64" s="111" t="s">
        <v>415</v>
      </c>
      <c r="BT64" s="76" t="s">
        <v>438</v>
      </c>
      <c r="BU64" s="120" t="s">
        <v>384</v>
      </c>
      <c r="BV64" s="120" t="s">
        <v>383</v>
      </c>
      <c r="BW64" s="120" t="s">
        <v>383</v>
      </c>
      <c r="BX64" s="120" t="s">
        <v>383</v>
      </c>
      <c r="BY64" s="120" t="s">
        <v>383</v>
      </c>
      <c r="BZ64" s="120" t="s">
        <v>383</v>
      </c>
      <c r="CA64" s="120" t="s">
        <v>383</v>
      </c>
      <c r="CB64" s="76" t="s">
        <v>383</v>
      </c>
      <c r="CC64" s="76" t="s">
        <v>384</v>
      </c>
      <c r="CD64" s="75" t="s">
        <v>416</v>
      </c>
      <c r="CE64" s="76" t="s">
        <v>384</v>
      </c>
      <c r="CF64" s="75" t="s">
        <v>417</v>
      </c>
      <c r="CG64" s="121" t="s">
        <v>383</v>
      </c>
      <c r="CH64" s="121" t="s">
        <v>383</v>
      </c>
      <c r="CI64" s="121" t="s">
        <v>383</v>
      </c>
      <c r="CJ64" s="121" t="s">
        <v>383</v>
      </c>
      <c r="CK64" s="121" t="s">
        <v>384</v>
      </c>
      <c r="CL64" s="76" t="s">
        <v>384</v>
      </c>
      <c r="CM64" s="76" t="s">
        <v>393</v>
      </c>
      <c r="CN64" s="120" t="s">
        <v>384</v>
      </c>
      <c r="CO64" s="120" t="s">
        <v>384</v>
      </c>
      <c r="CP64" s="120" t="s">
        <v>383</v>
      </c>
      <c r="CQ64" s="120" t="s">
        <v>383</v>
      </c>
      <c r="CR64" s="76" t="s">
        <v>384</v>
      </c>
      <c r="CS64" s="76" t="s">
        <v>440</v>
      </c>
      <c r="CT64" s="120" t="s">
        <v>384</v>
      </c>
      <c r="CU64" s="120" t="s">
        <v>383</v>
      </c>
      <c r="CV64" s="120" t="s">
        <v>383</v>
      </c>
      <c r="CW64" s="76" t="s">
        <v>384</v>
      </c>
      <c r="CX64" s="76" t="s">
        <v>383</v>
      </c>
      <c r="CY64" s="76" t="s">
        <v>383</v>
      </c>
      <c r="CZ64" s="76" t="s">
        <v>392</v>
      </c>
      <c r="DA64" s="76" t="s">
        <v>384</v>
      </c>
      <c r="DB64" s="76" t="s">
        <v>383</v>
      </c>
      <c r="DC64" s="76" t="s">
        <v>384</v>
      </c>
      <c r="DD64" s="76" t="s">
        <v>383</v>
      </c>
      <c r="DE64" s="76" t="s">
        <v>383</v>
      </c>
      <c r="DF64" s="76" t="s">
        <v>383</v>
      </c>
      <c r="DG64" s="76" t="s">
        <v>383</v>
      </c>
      <c r="DH64" s="76" t="s">
        <v>383</v>
      </c>
      <c r="DI64" s="76"/>
      <c r="DJ64" s="76" t="s">
        <v>384</v>
      </c>
      <c r="DK64" s="76" t="s">
        <v>384</v>
      </c>
      <c r="DL64" s="76" t="s">
        <v>383</v>
      </c>
      <c r="DM64" s="76" t="s">
        <v>383</v>
      </c>
      <c r="DN64" s="76" t="s">
        <v>1084</v>
      </c>
      <c r="DO64" s="76" t="s">
        <v>1083</v>
      </c>
      <c r="DP64" s="76" t="s">
        <v>383</v>
      </c>
      <c r="DQ64" s="76" t="s">
        <v>383</v>
      </c>
      <c r="DR64" s="76" t="s">
        <v>384</v>
      </c>
      <c r="DS64" s="76" t="s">
        <v>384</v>
      </c>
      <c r="DT64" s="76" t="s">
        <v>384</v>
      </c>
      <c r="DU64" s="76" t="s">
        <v>384</v>
      </c>
      <c r="DV64" s="76" t="s">
        <v>410</v>
      </c>
      <c r="DW64" s="111"/>
      <c r="DX64" s="76"/>
    </row>
    <row r="65" spans="2:128" ht="12.75" customHeight="1">
      <c r="B65" s="110" t="s">
        <v>380</v>
      </c>
      <c r="C65" s="111" t="s">
        <v>225</v>
      </c>
      <c r="D65" s="110" t="s">
        <v>295</v>
      </c>
      <c r="E65" s="111">
        <v>2024</v>
      </c>
      <c r="F65" s="111" t="s">
        <v>381</v>
      </c>
      <c r="G65" s="115" t="s">
        <v>233</v>
      </c>
      <c r="H65" s="127">
        <v>5.0999999999999996</v>
      </c>
      <c r="I65" s="111" t="s">
        <v>719</v>
      </c>
      <c r="J65" s="128" t="s">
        <v>1231</v>
      </c>
      <c r="K65" s="111">
        <v>4</v>
      </c>
      <c r="L65" s="111" t="s">
        <v>737</v>
      </c>
      <c r="M65" s="113" t="s">
        <v>1530</v>
      </c>
      <c r="N65" s="141" t="s">
        <v>1584</v>
      </c>
      <c r="O65" s="140" t="s">
        <v>384</v>
      </c>
      <c r="P65" s="140" t="s">
        <v>384</v>
      </c>
      <c r="Q65" s="140" t="s">
        <v>383</v>
      </c>
      <c r="R65" s="140" t="s">
        <v>383</v>
      </c>
      <c r="S65" s="140" t="s">
        <v>383</v>
      </c>
      <c r="T65" s="140" t="s">
        <v>383</v>
      </c>
      <c r="U65" s="140" t="s">
        <v>383</v>
      </c>
      <c r="V65" s="111" t="s">
        <v>738</v>
      </c>
      <c r="W65" s="111">
        <v>2014</v>
      </c>
      <c r="X65" s="111">
        <v>2021</v>
      </c>
      <c r="Y65" s="111">
        <f t="shared" si="8"/>
        <v>7</v>
      </c>
      <c r="Z65" s="111">
        <f t="shared" si="5"/>
        <v>3</v>
      </c>
      <c r="AA65" s="111">
        <v>23</v>
      </c>
      <c r="AB65" s="111">
        <v>93</v>
      </c>
      <c r="AC65" s="111"/>
      <c r="AD65" s="111" t="s">
        <v>740</v>
      </c>
      <c r="AE65" s="111" t="s">
        <v>434</v>
      </c>
      <c r="AF65" s="111" t="s">
        <v>383</v>
      </c>
      <c r="AG65" s="111" t="s">
        <v>383</v>
      </c>
      <c r="AH65" s="111" t="s">
        <v>384</v>
      </c>
      <c r="AI65" s="111" t="s">
        <v>739</v>
      </c>
      <c r="AJ65" s="111" t="s">
        <v>384</v>
      </c>
      <c r="AK65" s="111" t="s">
        <v>392</v>
      </c>
      <c r="AL65" s="111" t="s">
        <v>392</v>
      </c>
      <c r="AM65" s="111">
        <v>100</v>
      </c>
      <c r="AN65" s="111" t="s">
        <v>1531</v>
      </c>
      <c r="AO65" s="111" t="s">
        <v>1182</v>
      </c>
      <c r="AP65" s="121" t="s">
        <v>383</v>
      </c>
      <c r="AQ65" s="121" t="s">
        <v>383</v>
      </c>
      <c r="AR65" s="121" t="s">
        <v>383</v>
      </c>
      <c r="AS65" s="121" t="s">
        <v>383</v>
      </c>
      <c r="AT65" s="121" t="s">
        <v>384</v>
      </c>
      <c r="AU65" s="121" t="s">
        <v>383</v>
      </c>
      <c r="AV65" s="121" t="s">
        <v>383</v>
      </c>
      <c r="AW65" s="111" t="s">
        <v>1074</v>
      </c>
      <c r="AX65" s="121" t="s">
        <v>383</v>
      </c>
      <c r="AY65" s="121" t="s">
        <v>383</v>
      </c>
      <c r="AZ65" s="121" t="s">
        <v>384</v>
      </c>
      <c r="BA65" s="121" t="s">
        <v>384</v>
      </c>
      <c r="BB65" s="121" t="s">
        <v>383</v>
      </c>
      <c r="BC65" s="121" t="s">
        <v>383</v>
      </c>
      <c r="BD65" s="121" t="s">
        <v>383</v>
      </c>
      <c r="BE65" s="111" t="s">
        <v>383</v>
      </c>
      <c r="BF65" s="111" t="s">
        <v>384</v>
      </c>
      <c r="BG65" s="111" t="s">
        <v>392</v>
      </c>
      <c r="BH65" s="111" t="s">
        <v>392</v>
      </c>
      <c r="BI65" s="111">
        <v>100</v>
      </c>
      <c r="BJ65" s="111" t="s">
        <v>383</v>
      </c>
      <c r="BK65" s="140"/>
      <c r="BL65" s="111" t="s">
        <v>392</v>
      </c>
      <c r="BM65" s="111" t="s">
        <v>392</v>
      </c>
      <c r="BN65" s="111" t="s">
        <v>383</v>
      </c>
      <c r="BO65" s="111" t="s">
        <v>392</v>
      </c>
      <c r="BP65" s="111" t="s">
        <v>392</v>
      </c>
      <c r="BQ65" s="111" t="s">
        <v>392</v>
      </c>
      <c r="BR65" s="111" t="s">
        <v>392</v>
      </c>
      <c r="BS65" s="111" t="s">
        <v>1038</v>
      </c>
      <c r="BT65" s="111" t="s">
        <v>742</v>
      </c>
      <c r="BU65" s="121" t="s">
        <v>383</v>
      </c>
      <c r="BV65" s="121" t="s">
        <v>383</v>
      </c>
      <c r="BW65" s="121" t="s">
        <v>383</v>
      </c>
      <c r="BX65" s="121" t="s">
        <v>383</v>
      </c>
      <c r="BY65" s="121" t="s">
        <v>383</v>
      </c>
      <c r="BZ65" s="121" t="s">
        <v>383</v>
      </c>
      <c r="CA65" s="121" t="s">
        <v>384</v>
      </c>
      <c r="CB65" s="111" t="s">
        <v>568</v>
      </c>
      <c r="CC65" s="111" t="s">
        <v>383</v>
      </c>
      <c r="CD65" s="111" t="s">
        <v>383</v>
      </c>
      <c r="CE65" s="111" t="s">
        <v>384</v>
      </c>
      <c r="CF65" s="111" t="s">
        <v>741</v>
      </c>
      <c r="CG65" s="121" t="s">
        <v>384</v>
      </c>
      <c r="CH65" s="121" t="s">
        <v>383</v>
      </c>
      <c r="CI65" s="121" t="s">
        <v>383</v>
      </c>
      <c r="CJ65" s="121" t="s">
        <v>383</v>
      </c>
      <c r="CK65" s="121" t="s">
        <v>383</v>
      </c>
      <c r="CL65" s="111" t="s">
        <v>384</v>
      </c>
      <c r="CM65" s="111" t="s">
        <v>658</v>
      </c>
      <c r="CN65" s="121" t="s">
        <v>384</v>
      </c>
      <c r="CO65" s="121" t="s">
        <v>383</v>
      </c>
      <c r="CP65" s="121" t="s">
        <v>383</v>
      </c>
      <c r="CQ65" s="121" t="s">
        <v>383</v>
      </c>
      <c r="CR65" s="111" t="s">
        <v>384</v>
      </c>
      <c r="CS65" s="111" t="s">
        <v>440</v>
      </c>
      <c r="CT65" s="121" t="s">
        <v>384</v>
      </c>
      <c r="CU65" s="121" t="s">
        <v>383</v>
      </c>
      <c r="CV65" s="120" t="s">
        <v>383</v>
      </c>
      <c r="CW65" s="111" t="s">
        <v>383</v>
      </c>
      <c r="CX65" s="111" t="s">
        <v>383</v>
      </c>
      <c r="CY65" s="111" t="s">
        <v>383</v>
      </c>
      <c r="CZ65" s="111" t="s">
        <v>392</v>
      </c>
      <c r="DA65" s="111" t="s">
        <v>384</v>
      </c>
      <c r="DB65" s="111" t="s">
        <v>384</v>
      </c>
      <c r="DC65" s="111" t="s">
        <v>384</v>
      </c>
      <c r="DD65" s="111" t="s">
        <v>383</v>
      </c>
      <c r="DE65" s="111" t="s">
        <v>383</v>
      </c>
      <c r="DF65" s="111" t="s">
        <v>383</v>
      </c>
      <c r="DG65" s="111" t="s">
        <v>384</v>
      </c>
      <c r="DH65" s="111" t="s">
        <v>383</v>
      </c>
      <c r="DI65" s="111"/>
      <c r="DJ65" s="111" t="s">
        <v>384</v>
      </c>
      <c r="DK65" s="111" t="s">
        <v>383</v>
      </c>
      <c r="DL65" s="111" t="s">
        <v>383</v>
      </c>
      <c r="DM65" s="111" t="s">
        <v>383</v>
      </c>
      <c r="DN65" s="113" t="s">
        <v>1532</v>
      </c>
      <c r="DO65" s="113" t="s">
        <v>1533</v>
      </c>
      <c r="DP65" s="111" t="s">
        <v>383</v>
      </c>
      <c r="DQ65" s="111" t="s">
        <v>383</v>
      </c>
      <c r="DR65" s="111" t="s">
        <v>383</v>
      </c>
      <c r="DS65" s="111" t="s">
        <v>383</v>
      </c>
      <c r="DT65" s="111" t="s">
        <v>383</v>
      </c>
      <c r="DU65" s="111" t="s">
        <v>383</v>
      </c>
      <c r="DV65" s="111"/>
      <c r="DW65" s="111"/>
      <c r="DX65" s="111"/>
    </row>
    <row r="66" spans="2:128" ht="15.75">
      <c r="V66" s="71" t="s">
        <v>827</v>
      </c>
      <c r="W66" s="144">
        <f>SUM(W4:W65)</f>
        <v>123885</v>
      </c>
      <c r="X66" s="144">
        <f t="shared" ref="X66:AC66" si="9">SUM(X4:X65)</f>
        <v>125023</v>
      </c>
      <c r="Y66" s="144">
        <f t="shared" si="9"/>
        <v>1138</v>
      </c>
      <c r="Z66" s="144">
        <f t="shared" si="9"/>
        <v>144</v>
      </c>
      <c r="AA66" s="145">
        <f t="shared" si="9"/>
        <v>2768</v>
      </c>
      <c r="AB66" s="145">
        <f t="shared" si="9"/>
        <v>79675</v>
      </c>
      <c r="AC66" s="145">
        <f t="shared" si="9"/>
        <v>108732781</v>
      </c>
      <c r="AF66" s="71" t="s">
        <v>1647</v>
      </c>
      <c r="AG66" s="144">
        <f>COUNTIF(AG4:AG65, "yes")</f>
        <v>26</v>
      </c>
      <c r="AO66"/>
      <c r="AP66"/>
      <c r="AQ66"/>
      <c r="AR66"/>
      <c r="AS66"/>
      <c r="AT66"/>
      <c r="AU66"/>
      <c r="AV66"/>
      <c r="BI66" s="71" t="s">
        <v>1647</v>
      </c>
      <c r="BJ66" s="144">
        <f>COUNTIF(BJ4:BJ65, "yes")</f>
        <v>43</v>
      </c>
      <c r="BM66" s="71" t="s">
        <v>1647</v>
      </c>
      <c r="BN66" s="144">
        <f>COUNTIF(BN4:BN65, "yes")</f>
        <v>31</v>
      </c>
      <c r="BO66" s="144">
        <f t="shared" ref="BO66:BQ66" si="10">COUNTIF(BO4:BO65, "yes")</f>
        <v>0</v>
      </c>
      <c r="BP66" s="144">
        <f t="shared" si="10"/>
        <v>0</v>
      </c>
      <c r="BQ66" s="144">
        <f t="shared" si="10"/>
        <v>0</v>
      </c>
      <c r="BR66" s="144">
        <f t="shared" ref="BR66" si="11">COUNTIF(BR4:BR65, "yes")</f>
        <v>0</v>
      </c>
      <c r="BS66" s="151" t="s">
        <v>1649</v>
      </c>
      <c r="BT66" s="144">
        <f>COUNTIF(BT4:BT65, "random-effects model")</f>
        <v>32</v>
      </c>
      <c r="CD66" s="71" t="s">
        <v>1647</v>
      </c>
      <c r="CE66" s="144">
        <f>COUNTIF(CE4:CE65, "yes")</f>
        <v>33</v>
      </c>
      <c r="DI66" s="71" t="s">
        <v>1647</v>
      </c>
      <c r="DJ66" s="144">
        <f>COUNTIF(DJ4:DJ65, "yes")</f>
        <v>28</v>
      </c>
      <c r="DO66" s="71" t="s">
        <v>1647</v>
      </c>
      <c r="DP66" s="144">
        <f>COUNTIF(DP4:DP65, "yes")</f>
        <v>9</v>
      </c>
      <c r="DQ66" s="144">
        <f t="shared" ref="DQ66:DU66" si="12">COUNTIF(DQ4:DQ65, "yes")</f>
        <v>3</v>
      </c>
      <c r="DR66" s="144">
        <f t="shared" si="12"/>
        <v>25</v>
      </c>
      <c r="DS66" s="144">
        <f t="shared" si="12"/>
        <v>14</v>
      </c>
      <c r="DT66" s="144">
        <f t="shared" si="12"/>
        <v>12</v>
      </c>
      <c r="DU66" s="144">
        <f t="shared" si="12"/>
        <v>16</v>
      </c>
    </row>
    <row r="67" spans="2:128">
      <c r="F67" s="71">
        <f>COUNTIF(F4:F65, "published")</f>
        <v>60</v>
      </c>
      <c r="V67" s="71" t="s">
        <v>1641</v>
      </c>
      <c r="W67" s="144">
        <f>AVERAGE(W4:W65)</f>
        <v>1998.1451612903227</v>
      </c>
      <c r="X67" s="144">
        <f t="shared" ref="X67:AC67" si="13">AVERAGE(X4:X65)</f>
        <v>2016.5</v>
      </c>
      <c r="Y67" s="145">
        <f t="shared" si="13"/>
        <v>18.35483870967742</v>
      </c>
      <c r="Z67" s="144">
        <f t="shared" si="13"/>
        <v>2.3225806451612905</v>
      </c>
      <c r="AA67" s="144">
        <f t="shared" si="13"/>
        <v>44.645161290322584</v>
      </c>
      <c r="AB67" s="144">
        <f t="shared" si="13"/>
        <v>1422.7678571428571</v>
      </c>
      <c r="AC67" s="144">
        <f t="shared" si="13"/>
        <v>2363756.1086956523</v>
      </c>
      <c r="BJ67" s="71">
        <f>COUNTIF(BJ4:BJ65,"yes")</f>
        <v>43</v>
      </c>
      <c r="BL67" s="71">
        <f>COUNTIF(BL4:BL65,"exclusion rule")</f>
        <v>18</v>
      </c>
      <c r="BM67" s="71" t="s">
        <v>1648</v>
      </c>
      <c r="BN67" s="71">
        <f>COUNTIF(BN4:BN65, "not reported")</f>
        <v>0</v>
      </c>
      <c r="BO67" s="71">
        <f t="shared" ref="BO67:BR67" si="14">COUNTIF(BO4:BO65, "not reported")</f>
        <v>31</v>
      </c>
      <c r="BP67" s="71">
        <f t="shared" si="14"/>
        <v>34</v>
      </c>
      <c r="BQ67" s="71">
        <f t="shared" si="14"/>
        <v>32</v>
      </c>
      <c r="BR67" s="71">
        <f t="shared" si="14"/>
        <v>31</v>
      </c>
      <c r="DP67" s="144"/>
    </row>
    <row r="68" spans="2:128">
      <c r="F68" s="71">
        <f>COUNTIF(F4:F65, "unpublished")</f>
        <v>1</v>
      </c>
      <c r="V68" s="71" t="s">
        <v>1642</v>
      </c>
      <c r="W68" s="145">
        <f>MIN(W4:W65)</f>
        <v>1976</v>
      </c>
      <c r="X68" s="144">
        <f t="shared" ref="X68:AC68" si="15">MIN(X4:X65)</f>
        <v>1993</v>
      </c>
      <c r="Y68" s="145">
        <f t="shared" si="15"/>
        <v>0</v>
      </c>
      <c r="Z68" s="144">
        <f t="shared" si="15"/>
        <v>0</v>
      </c>
      <c r="AA68" s="144">
        <f t="shared" si="15"/>
        <v>3</v>
      </c>
      <c r="AB68" s="144">
        <f t="shared" si="15"/>
        <v>23</v>
      </c>
      <c r="AC68" s="144">
        <f t="shared" si="15"/>
        <v>2827</v>
      </c>
      <c r="BJ68" s="71">
        <f>COUNTIF(BJ4:BJ65, "no")</f>
        <v>19</v>
      </c>
      <c r="BL68" s="71">
        <f>COUNTIF(BL4:BL65, "not")</f>
        <v>0</v>
      </c>
      <c r="DP68" s="144"/>
    </row>
    <row r="69" spans="2:128">
      <c r="F69" s="71">
        <f>COUNTIF(F4:F65, "grey")</f>
        <v>0</v>
      </c>
      <c r="V69" s="71" t="s">
        <v>1643</v>
      </c>
      <c r="W69" s="144">
        <f>MAX(W4:W65)</f>
        <v>2020</v>
      </c>
      <c r="X69" s="145">
        <f t="shared" ref="X69:AC69" si="16">MAX(X4:X65)</f>
        <v>2023</v>
      </c>
      <c r="Y69" s="145">
        <f t="shared" si="16"/>
        <v>43</v>
      </c>
      <c r="Z69" s="144">
        <f t="shared" si="16"/>
        <v>7</v>
      </c>
      <c r="AA69" s="144">
        <f t="shared" si="16"/>
        <v>233</v>
      </c>
      <c r="AB69" s="144">
        <f t="shared" si="16"/>
        <v>8839</v>
      </c>
      <c r="AC69" s="144">
        <f t="shared" si="16"/>
        <v>24813120</v>
      </c>
      <c r="DP69" s="144"/>
    </row>
  </sheetData>
  <sortState xmlns:xlrd2="http://schemas.microsoft.com/office/spreadsheetml/2017/richdata2" ref="B4:DX64">
    <sortCondition ref="B4:B64"/>
  </sortState>
  <mergeCells count="12">
    <mergeCell ref="V1:AD1"/>
    <mergeCell ref="AE1:AI1"/>
    <mergeCell ref="AJ1:BE1"/>
    <mergeCell ref="BF1:BI1"/>
    <mergeCell ref="B1:U1"/>
    <mergeCell ref="DV1:DX1"/>
    <mergeCell ref="BJ1:BM1"/>
    <mergeCell ref="BN1:BR1"/>
    <mergeCell ref="BS1:CZ1"/>
    <mergeCell ref="DA1:DI1"/>
    <mergeCell ref="DJ1:DO1"/>
    <mergeCell ref="DP1:DU1"/>
  </mergeCells>
  <phoneticPr fontId="7"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96661-25F2-6345-B155-D0A6250F6112}">
  <dimension ref="A1:J97"/>
  <sheetViews>
    <sheetView topLeftCell="G1" workbookViewId="0">
      <selection activeCell="G9" sqref="G9"/>
    </sheetView>
  </sheetViews>
  <sheetFormatPr defaultColWidth="11" defaultRowHeight="15.75"/>
  <cols>
    <col min="1" max="1" width="21" style="71" customWidth="1"/>
    <col min="2" max="10" width="15.5" style="71" customWidth="1"/>
  </cols>
  <sheetData>
    <row r="1" spans="1:10" ht="16.5" thickBot="1">
      <c r="A1" t="s">
        <v>1644</v>
      </c>
      <c r="B1"/>
      <c r="C1"/>
      <c r="D1"/>
      <c r="E1" s="192" t="s">
        <v>165</v>
      </c>
      <c r="F1" s="193"/>
      <c r="G1" s="193"/>
      <c r="H1" s="193"/>
      <c r="I1" s="193"/>
      <c r="J1" s="193"/>
    </row>
    <row r="2" spans="1:10">
      <c r="A2" s="67" t="s">
        <v>0</v>
      </c>
      <c r="B2" s="1" t="s">
        <v>1</v>
      </c>
      <c r="C2" s="1" t="s">
        <v>2</v>
      </c>
      <c r="D2" s="1" t="s">
        <v>3</v>
      </c>
      <c r="E2" s="23" t="s">
        <v>68</v>
      </c>
      <c r="F2" s="10" t="s">
        <v>69</v>
      </c>
      <c r="G2" s="10" t="s">
        <v>70</v>
      </c>
      <c r="H2" s="10" t="s">
        <v>71</v>
      </c>
      <c r="I2" s="10" t="s">
        <v>72</v>
      </c>
      <c r="J2" s="24" t="s">
        <v>73</v>
      </c>
    </row>
    <row r="3" spans="1:10" ht="16.5" thickBot="1">
      <c r="A3" s="146" t="s">
        <v>77</v>
      </c>
      <c r="B3" s="147" t="s">
        <v>78</v>
      </c>
      <c r="C3" s="147" t="s">
        <v>79</v>
      </c>
      <c r="D3" s="147" t="s">
        <v>80</v>
      </c>
      <c r="E3" s="148" t="s">
        <v>146</v>
      </c>
      <c r="F3" s="149" t="s">
        <v>147</v>
      </c>
      <c r="G3" s="149" t="s">
        <v>148</v>
      </c>
      <c r="H3" s="149" t="s">
        <v>149</v>
      </c>
      <c r="I3" s="149" t="s">
        <v>150</v>
      </c>
      <c r="J3" s="150" t="s">
        <v>151</v>
      </c>
    </row>
    <row r="4" spans="1:10">
      <c r="A4" s="72" t="s">
        <v>377</v>
      </c>
      <c r="B4" s="76" t="s">
        <v>222</v>
      </c>
      <c r="C4" s="72" t="s">
        <v>299</v>
      </c>
      <c r="D4" s="76">
        <v>2024</v>
      </c>
      <c r="E4" s="76" t="s">
        <v>383</v>
      </c>
      <c r="F4" s="76" t="s">
        <v>383</v>
      </c>
      <c r="G4" s="76" t="s">
        <v>383</v>
      </c>
      <c r="H4" s="76" t="s">
        <v>383</v>
      </c>
      <c r="I4" s="76" t="s">
        <v>384</v>
      </c>
      <c r="J4" s="76" t="s">
        <v>384</v>
      </c>
    </row>
    <row r="5" spans="1:10">
      <c r="A5" s="72" t="s">
        <v>378</v>
      </c>
      <c r="B5" s="76" t="s">
        <v>223</v>
      </c>
      <c r="C5" s="72" t="s">
        <v>298</v>
      </c>
      <c r="D5" s="76">
        <v>2024</v>
      </c>
      <c r="E5" s="76" t="s">
        <v>383</v>
      </c>
      <c r="F5" s="76" t="s">
        <v>383</v>
      </c>
      <c r="G5" s="76" t="s">
        <v>383</v>
      </c>
      <c r="H5" s="76" t="s">
        <v>383</v>
      </c>
      <c r="I5" s="76" t="s">
        <v>383</v>
      </c>
      <c r="J5" s="76" t="s">
        <v>383</v>
      </c>
    </row>
    <row r="6" spans="1:10">
      <c r="A6" s="72" t="s">
        <v>379</v>
      </c>
      <c r="B6" s="76" t="s">
        <v>224</v>
      </c>
      <c r="C6" s="72" t="s">
        <v>297</v>
      </c>
      <c r="D6" s="76">
        <v>2024</v>
      </c>
      <c r="E6" s="76" t="s">
        <v>383</v>
      </c>
      <c r="F6" s="76" t="s">
        <v>383</v>
      </c>
      <c r="G6" s="76" t="s">
        <v>384</v>
      </c>
      <c r="H6" s="76" t="s">
        <v>384</v>
      </c>
      <c r="I6" s="76" t="s">
        <v>384</v>
      </c>
      <c r="J6" s="76" t="s">
        <v>384</v>
      </c>
    </row>
    <row r="7" spans="1:10">
      <c r="A7" s="110" t="s">
        <v>380</v>
      </c>
      <c r="B7" s="111" t="s">
        <v>225</v>
      </c>
      <c r="C7" s="110" t="s">
        <v>295</v>
      </c>
      <c r="D7" s="111">
        <v>2024</v>
      </c>
      <c r="E7" s="111" t="s">
        <v>383</v>
      </c>
      <c r="F7" s="111" t="s">
        <v>383</v>
      </c>
      <c r="G7" s="111" t="s">
        <v>383</v>
      </c>
      <c r="H7" s="111" t="s">
        <v>383</v>
      </c>
      <c r="I7" s="111" t="s">
        <v>383</v>
      </c>
      <c r="J7" s="111" t="s">
        <v>383</v>
      </c>
    </row>
    <row r="8" spans="1:10">
      <c r="A8" s="72" t="s">
        <v>1359</v>
      </c>
      <c r="B8" s="111" t="s">
        <v>172</v>
      </c>
      <c r="C8" s="76" t="s">
        <v>1358</v>
      </c>
      <c r="D8" s="111">
        <v>2023</v>
      </c>
      <c r="E8" s="111" t="s">
        <v>383</v>
      </c>
      <c r="F8" s="111" t="s">
        <v>383</v>
      </c>
      <c r="G8" s="111" t="s">
        <v>384</v>
      </c>
      <c r="H8" s="111" t="s">
        <v>383</v>
      </c>
      <c r="I8" s="111" t="s">
        <v>383</v>
      </c>
      <c r="J8" s="111" t="s">
        <v>383</v>
      </c>
    </row>
    <row r="9" spans="1:10">
      <c r="A9" s="72" t="s">
        <v>322</v>
      </c>
      <c r="B9" s="76" t="s">
        <v>167</v>
      </c>
      <c r="C9" s="76" t="s">
        <v>275</v>
      </c>
      <c r="D9" s="76">
        <v>2023</v>
      </c>
      <c r="E9" s="76" t="s">
        <v>383</v>
      </c>
      <c r="F9" s="76" t="s">
        <v>383</v>
      </c>
      <c r="G9" s="76" t="s">
        <v>383</v>
      </c>
      <c r="H9" s="76" t="s">
        <v>383</v>
      </c>
      <c r="I9" s="76" t="s">
        <v>383</v>
      </c>
      <c r="J9" s="76" t="s">
        <v>383</v>
      </c>
    </row>
    <row r="10" spans="1:10">
      <c r="A10" s="72" t="s">
        <v>373</v>
      </c>
      <c r="B10" s="76" t="s">
        <v>174</v>
      </c>
      <c r="C10" s="72" t="s">
        <v>301</v>
      </c>
      <c r="D10" s="76">
        <v>2023</v>
      </c>
      <c r="E10" s="76" t="s">
        <v>383</v>
      </c>
      <c r="F10" s="76" t="s">
        <v>383</v>
      </c>
      <c r="G10" s="76" t="s">
        <v>383</v>
      </c>
      <c r="H10" s="76" t="s">
        <v>383</v>
      </c>
      <c r="I10" s="76" t="s">
        <v>383</v>
      </c>
      <c r="J10" s="76" t="s">
        <v>383</v>
      </c>
    </row>
    <row r="11" spans="1:10">
      <c r="A11" s="110" t="s">
        <v>374</v>
      </c>
      <c r="B11" s="111" t="s">
        <v>219</v>
      </c>
      <c r="C11" s="110" t="s">
        <v>300</v>
      </c>
      <c r="D11" s="111">
        <v>2023</v>
      </c>
      <c r="E11" s="111" t="s">
        <v>384</v>
      </c>
      <c r="F11" s="111" t="s">
        <v>384</v>
      </c>
      <c r="G11" s="111" t="s">
        <v>384</v>
      </c>
      <c r="H11" s="111" t="s">
        <v>384</v>
      </c>
      <c r="I11" s="111" t="s">
        <v>384</v>
      </c>
      <c r="J11" s="111" t="s">
        <v>384</v>
      </c>
    </row>
    <row r="12" spans="1:10">
      <c r="A12" s="72" t="s">
        <v>995</v>
      </c>
      <c r="B12" s="111" t="s">
        <v>174</v>
      </c>
      <c r="C12" s="111" t="s">
        <v>975</v>
      </c>
      <c r="D12" s="111">
        <v>2023</v>
      </c>
      <c r="E12" s="111" t="s">
        <v>384</v>
      </c>
      <c r="F12" s="111" t="s">
        <v>383</v>
      </c>
      <c r="G12" s="111" t="s">
        <v>384</v>
      </c>
      <c r="H12" s="111" t="s">
        <v>383</v>
      </c>
      <c r="I12" s="111" t="s">
        <v>384</v>
      </c>
      <c r="J12" s="111" t="s">
        <v>384</v>
      </c>
    </row>
    <row r="13" spans="1:10">
      <c r="A13" s="110" t="s">
        <v>344</v>
      </c>
      <c r="B13" s="111" t="s">
        <v>190</v>
      </c>
      <c r="C13" s="111" t="s">
        <v>283</v>
      </c>
      <c r="D13" s="111">
        <v>2023</v>
      </c>
      <c r="E13" s="111" t="s">
        <v>383</v>
      </c>
      <c r="F13" s="111" t="s">
        <v>383</v>
      </c>
      <c r="G13" s="111" t="s">
        <v>383</v>
      </c>
      <c r="H13" s="111" t="s">
        <v>384</v>
      </c>
      <c r="I13" s="111" t="s">
        <v>383</v>
      </c>
      <c r="J13" s="111" t="s">
        <v>383</v>
      </c>
    </row>
    <row r="14" spans="1:10">
      <c r="A14" s="72" t="s">
        <v>329</v>
      </c>
      <c r="B14" s="76" t="s">
        <v>175</v>
      </c>
      <c r="C14" s="76" t="s">
        <v>310</v>
      </c>
      <c r="D14" s="76">
        <v>2022</v>
      </c>
      <c r="E14" s="76" t="s">
        <v>383</v>
      </c>
      <c r="F14" s="76" t="s">
        <v>383</v>
      </c>
      <c r="G14" s="76" t="s">
        <v>384</v>
      </c>
      <c r="H14" s="76" t="s">
        <v>383</v>
      </c>
      <c r="I14" s="76" t="s">
        <v>383</v>
      </c>
      <c r="J14" s="76" t="s">
        <v>383</v>
      </c>
    </row>
    <row r="15" spans="1:10">
      <c r="A15" s="72" t="s">
        <v>369</v>
      </c>
      <c r="B15" s="76" t="s">
        <v>215</v>
      </c>
      <c r="C15" s="76" t="s">
        <v>292</v>
      </c>
      <c r="D15" s="76">
        <v>2022</v>
      </c>
      <c r="E15" s="76" t="s">
        <v>383</v>
      </c>
      <c r="F15" s="76" t="s">
        <v>383</v>
      </c>
      <c r="G15" s="76" t="s">
        <v>384</v>
      </c>
      <c r="H15" s="76" t="s">
        <v>383</v>
      </c>
      <c r="I15" s="76" t="s">
        <v>383</v>
      </c>
      <c r="J15" s="76" t="s">
        <v>383</v>
      </c>
    </row>
    <row r="16" spans="1:10">
      <c r="A16" s="72" t="s">
        <v>346</v>
      </c>
      <c r="B16" s="76" t="s">
        <v>192</v>
      </c>
      <c r="C16" s="76" t="s">
        <v>284</v>
      </c>
      <c r="D16" s="76">
        <v>2022</v>
      </c>
      <c r="E16" s="75" t="s">
        <v>383</v>
      </c>
      <c r="F16" s="76" t="s">
        <v>383</v>
      </c>
      <c r="G16" s="76" t="s">
        <v>384</v>
      </c>
      <c r="H16" s="76" t="s">
        <v>384</v>
      </c>
      <c r="I16" s="76" t="s">
        <v>383</v>
      </c>
      <c r="J16" s="76" t="s">
        <v>383</v>
      </c>
    </row>
    <row r="17" spans="1:10">
      <c r="A17" s="72" t="s">
        <v>372</v>
      </c>
      <c r="B17" s="76" t="s">
        <v>218</v>
      </c>
      <c r="C17" s="76" t="s">
        <v>302</v>
      </c>
      <c r="D17" s="76">
        <v>2022</v>
      </c>
      <c r="E17" s="76" t="s">
        <v>383</v>
      </c>
      <c r="F17" s="76" t="s">
        <v>383</v>
      </c>
      <c r="G17" s="76" t="s">
        <v>384</v>
      </c>
      <c r="H17" s="76" t="s">
        <v>384</v>
      </c>
      <c r="I17" s="76" t="s">
        <v>384</v>
      </c>
      <c r="J17" s="76" t="s">
        <v>384</v>
      </c>
    </row>
    <row r="18" spans="1:10">
      <c r="A18" s="110" t="s">
        <v>350</v>
      </c>
      <c r="B18" s="111" t="s">
        <v>196</v>
      </c>
      <c r="C18" s="111" t="s">
        <v>286</v>
      </c>
      <c r="D18" s="111">
        <v>2022</v>
      </c>
      <c r="E18" s="111" t="s">
        <v>383</v>
      </c>
      <c r="F18" s="111" t="s">
        <v>383</v>
      </c>
      <c r="G18" s="111" t="s">
        <v>383</v>
      </c>
      <c r="H18" s="111" t="s">
        <v>383</v>
      </c>
      <c r="I18" s="116" t="s">
        <v>383</v>
      </c>
      <c r="J18" s="111" t="s">
        <v>383</v>
      </c>
    </row>
    <row r="19" spans="1:10">
      <c r="A19" s="72" t="s">
        <v>354</v>
      </c>
      <c r="B19" s="76" t="s">
        <v>200</v>
      </c>
      <c r="C19" s="76" t="s">
        <v>288</v>
      </c>
      <c r="D19" s="76">
        <v>2022</v>
      </c>
      <c r="E19" s="76" t="s">
        <v>383</v>
      </c>
      <c r="F19" s="76" t="s">
        <v>383</v>
      </c>
      <c r="G19" s="76" t="s">
        <v>384</v>
      </c>
      <c r="H19" s="76" t="s">
        <v>383</v>
      </c>
      <c r="I19" s="76" t="s">
        <v>383</v>
      </c>
      <c r="J19" s="75" t="s">
        <v>434</v>
      </c>
    </row>
    <row r="20" spans="1:10">
      <c r="A20" s="72" t="s">
        <v>339</v>
      </c>
      <c r="B20" s="76" t="s">
        <v>185</v>
      </c>
      <c r="C20" s="76" t="s">
        <v>450</v>
      </c>
      <c r="D20" s="76">
        <v>2022</v>
      </c>
      <c r="E20" s="76" t="s">
        <v>383</v>
      </c>
      <c r="F20" s="76" t="s">
        <v>384</v>
      </c>
      <c r="G20" s="76" t="s">
        <v>383</v>
      </c>
      <c r="H20" s="76" t="s">
        <v>383</v>
      </c>
      <c r="I20" s="76" t="s">
        <v>383</v>
      </c>
      <c r="J20" s="76" t="s">
        <v>384</v>
      </c>
    </row>
    <row r="21" spans="1:10">
      <c r="A21" s="72" t="s">
        <v>362</v>
      </c>
      <c r="B21" s="76" t="s">
        <v>208</v>
      </c>
      <c r="C21" s="76" t="s">
        <v>445</v>
      </c>
      <c r="D21" s="76">
        <v>2022</v>
      </c>
      <c r="E21" s="76" t="s">
        <v>383</v>
      </c>
      <c r="F21" s="76" t="s">
        <v>383</v>
      </c>
      <c r="G21" s="76" t="s">
        <v>384</v>
      </c>
      <c r="H21" s="76" t="s">
        <v>383</v>
      </c>
      <c r="I21" s="76" t="s">
        <v>383</v>
      </c>
      <c r="J21" s="76" t="s">
        <v>383</v>
      </c>
    </row>
    <row r="22" spans="1:10">
      <c r="A22" s="72" t="s">
        <v>974</v>
      </c>
      <c r="B22" s="111" t="s">
        <v>168</v>
      </c>
      <c r="C22" s="111" t="s">
        <v>985</v>
      </c>
      <c r="D22" s="111">
        <v>2022</v>
      </c>
      <c r="E22" s="111" t="s">
        <v>384</v>
      </c>
      <c r="F22" s="111" t="s">
        <v>383</v>
      </c>
      <c r="G22" s="111" t="s">
        <v>383</v>
      </c>
      <c r="H22" s="111" t="s">
        <v>383</v>
      </c>
      <c r="I22" s="111" t="s">
        <v>384</v>
      </c>
      <c r="J22" s="111" t="s">
        <v>384</v>
      </c>
    </row>
    <row r="23" spans="1:10">
      <c r="A23" s="72" t="s">
        <v>323</v>
      </c>
      <c r="B23" s="111" t="s">
        <v>169</v>
      </c>
      <c r="C23" s="111" t="s">
        <v>274</v>
      </c>
      <c r="D23" s="111">
        <v>2022</v>
      </c>
      <c r="E23" s="111" t="s">
        <v>383</v>
      </c>
      <c r="F23" s="111" t="s">
        <v>383</v>
      </c>
      <c r="G23" s="111" t="s">
        <v>383</v>
      </c>
      <c r="H23" s="111" t="s">
        <v>383</v>
      </c>
      <c r="I23" s="111" t="s">
        <v>383</v>
      </c>
      <c r="J23" s="111" t="s">
        <v>383</v>
      </c>
    </row>
    <row r="24" spans="1:10">
      <c r="A24" s="76" t="s">
        <v>330</v>
      </c>
      <c r="B24" s="76" t="s">
        <v>176</v>
      </c>
      <c r="C24" s="76" t="s">
        <v>454</v>
      </c>
      <c r="D24" s="76">
        <v>2022</v>
      </c>
      <c r="E24" s="76" t="s">
        <v>383</v>
      </c>
      <c r="F24" s="76" t="s">
        <v>383</v>
      </c>
      <c r="G24" s="76" t="s">
        <v>384</v>
      </c>
      <c r="H24" s="76" t="s">
        <v>383</v>
      </c>
      <c r="I24" s="76" t="s">
        <v>383</v>
      </c>
      <c r="J24" s="76" t="s">
        <v>383</v>
      </c>
    </row>
    <row r="25" spans="1:10">
      <c r="A25" s="72" t="s">
        <v>371</v>
      </c>
      <c r="B25" s="111" t="s">
        <v>217</v>
      </c>
      <c r="C25" s="111" t="s">
        <v>303</v>
      </c>
      <c r="D25" s="111">
        <v>2022</v>
      </c>
      <c r="E25" s="111" t="s">
        <v>383</v>
      </c>
      <c r="F25" s="111" t="s">
        <v>383</v>
      </c>
      <c r="G25" s="111" t="s">
        <v>383</v>
      </c>
      <c r="H25" s="111" t="s">
        <v>383</v>
      </c>
      <c r="I25" s="111" t="s">
        <v>383</v>
      </c>
      <c r="J25" s="111" t="s">
        <v>383</v>
      </c>
    </row>
    <row r="26" spans="1:10">
      <c r="A26" s="72" t="s">
        <v>366</v>
      </c>
      <c r="B26" s="111" t="s">
        <v>212</v>
      </c>
      <c r="C26" s="111" t="s">
        <v>291</v>
      </c>
      <c r="D26" s="111">
        <v>2022</v>
      </c>
      <c r="E26" s="111" t="s">
        <v>383</v>
      </c>
      <c r="F26" s="111" t="s">
        <v>383</v>
      </c>
      <c r="G26" s="111" t="s">
        <v>383</v>
      </c>
      <c r="H26" s="111" t="s">
        <v>383</v>
      </c>
      <c r="I26" s="111" t="s">
        <v>383</v>
      </c>
      <c r="J26" s="111" t="s">
        <v>383</v>
      </c>
    </row>
    <row r="27" spans="1:10">
      <c r="A27" s="72" t="s">
        <v>336</v>
      </c>
      <c r="B27" s="76" t="s">
        <v>182</v>
      </c>
      <c r="C27" s="76" t="s">
        <v>452</v>
      </c>
      <c r="D27" s="76">
        <v>2021</v>
      </c>
      <c r="E27" s="76" t="s">
        <v>383</v>
      </c>
      <c r="F27" s="76" t="s">
        <v>383</v>
      </c>
      <c r="G27" s="76" t="s">
        <v>384</v>
      </c>
      <c r="H27" s="76" t="s">
        <v>383</v>
      </c>
      <c r="I27" s="76" t="s">
        <v>383</v>
      </c>
      <c r="J27" s="76" t="s">
        <v>383</v>
      </c>
    </row>
    <row r="28" spans="1:10">
      <c r="A28" s="72" t="s">
        <v>364</v>
      </c>
      <c r="B28" s="111" t="s">
        <v>210</v>
      </c>
      <c r="C28" s="111" t="s">
        <v>306</v>
      </c>
      <c r="D28" s="111">
        <v>2021</v>
      </c>
      <c r="E28" s="111" t="s">
        <v>383</v>
      </c>
      <c r="F28" s="111" t="s">
        <v>383</v>
      </c>
      <c r="G28" s="111" t="s">
        <v>384</v>
      </c>
      <c r="H28" s="111" t="s">
        <v>383</v>
      </c>
      <c r="I28" s="111" t="s">
        <v>384</v>
      </c>
      <c r="J28" s="111" t="s">
        <v>384</v>
      </c>
    </row>
    <row r="29" spans="1:10">
      <c r="A29" s="72" t="s">
        <v>355</v>
      </c>
      <c r="B29" s="111" t="s">
        <v>201</v>
      </c>
      <c r="C29" s="111" t="s">
        <v>448</v>
      </c>
      <c r="D29" s="111">
        <v>2021</v>
      </c>
      <c r="E29" s="111" t="s">
        <v>383</v>
      </c>
      <c r="F29" s="111" t="s">
        <v>384</v>
      </c>
      <c r="G29" s="111" t="s">
        <v>383</v>
      </c>
      <c r="H29" s="111" t="s">
        <v>383</v>
      </c>
      <c r="I29" s="111" t="s">
        <v>383</v>
      </c>
      <c r="J29" s="111" t="s">
        <v>383</v>
      </c>
    </row>
    <row r="30" spans="1:10">
      <c r="A30" s="110" t="s">
        <v>333</v>
      </c>
      <c r="B30" s="111" t="s">
        <v>179</v>
      </c>
      <c r="C30" s="111" t="s">
        <v>453</v>
      </c>
      <c r="D30" s="111">
        <v>2020</v>
      </c>
      <c r="E30" s="111" t="s">
        <v>383</v>
      </c>
      <c r="F30" s="111" t="s">
        <v>383</v>
      </c>
      <c r="G30" s="111" t="s">
        <v>384</v>
      </c>
      <c r="H30" s="111" t="s">
        <v>383</v>
      </c>
      <c r="I30" s="75" t="s">
        <v>384</v>
      </c>
      <c r="J30" s="75" t="s">
        <v>384</v>
      </c>
    </row>
    <row r="31" spans="1:10">
      <c r="A31" s="72" t="s">
        <v>337</v>
      </c>
      <c r="B31" s="76" t="s">
        <v>183</v>
      </c>
      <c r="C31" s="76" t="s">
        <v>311</v>
      </c>
      <c r="D31" s="76">
        <v>2020</v>
      </c>
      <c r="E31" s="76" t="s">
        <v>384</v>
      </c>
      <c r="F31" s="76" t="s">
        <v>383</v>
      </c>
      <c r="G31" s="76" t="s">
        <v>383</v>
      </c>
      <c r="H31" s="76" t="s">
        <v>383</v>
      </c>
      <c r="I31" s="76" t="s">
        <v>383</v>
      </c>
      <c r="J31" s="76" t="s">
        <v>383</v>
      </c>
    </row>
    <row r="32" spans="1:10">
      <c r="A32" s="72" t="s">
        <v>356</v>
      </c>
      <c r="B32" s="76" t="s">
        <v>202</v>
      </c>
      <c r="C32" s="76" t="s">
        <v>289</v>
      </c>
      <c r="D32" s="76">
        <v>2020</v>
      </c>
      <c r="E32" s="76" t="s">
        <v>383</v>
      </c>
      <c r="F32" s="76" t="s">
        <v>383</v>
      </c>
      <c r="G32" s="76" t="s">
        <v>384</v>
      </c>
      <c r="H32" s="76" t="s">
        <v>383</v>
      </c>
      <c r="I32" s="76" t="s">
        <v>383</v>
      </c>
      <c r="J32" s="76" t="s">
        <v>383</v>
      </c>
    </row>
    <row r="33" spans="1:10">
      <c r="A33" s="72" t="s">
        <v>358</v>
      </c>
      <c r="B33" s="76" t="s">
        <v>204</v>
      </c>
      <c r="C33" s="76" t="s">
        <v>447</v>
      </c>
      <c r="D33" s="76">
        <v>2020</v>
      </c>
      <c r="E33" s="76" t="s">
        <v>383</v>
      </c>
      <c r="F33" s="76" t="s">
        <v>383</v>
      </c>
      <c r="G33" s="76" t="s">
        <v>384</v>
      </c>
      <c r="H33" s="76" t="s">
        <v>384</v>
      </c>
      <c r="I33" s="76" t="s">
        <v>384</v>
      </c>
      <c r="J33" s="76" t="s">
        <v>384</v>
      </c>
    </row>
    <row r="34" spans="1:10">
      <c r="A34" s="110" t="s">
        <v>343</v>
      </c>
      <c r="B34" s="111" t="s">
        <v>189</v>
      </c>
      <c r="C34" s="111" t="s">
        <v>316</v>
      </c>
      <c r="D34" s="111">
        <v>2020</v>
      </c>
      <c r="E34" s="111" t="s">
        <v>383</v>
      </c>
      <c r="F34" s="111" t="s">
        <v>383</v>
      </c>
      <c r="G34" s="111" t="s">
        <v>383</v>
      </c>
      <c r="H34" s="111" t="s">
        <v>384</v>
      </c>
      <c r="I34" s="111" t="s">
        <v>384</v>
      </c>
      <c r="J34" s="111" t="s">
        <v>384</v>
      </c>
    </row>
    <row r="35" spans="1:10">
      <c r="A35" s="72" t="s">
        <v>359</v>
      </c>
      <c r="B35" s="111" t="s">
        <v>205</v>
      </c>
      <c r="C35" s="111" t="s">
        <v>309</v>
      </c>
      <c r="D35" s="111">
        <v>2020</v>
      </c>
      <c r="E35" s="111" t="s">
        <v>383</v>
      </c>
      <c r="F35" s="111" t="s">
        <v>383</v>
      </c>
      <c r="G35" s="111" t="s">
        <v>383</v>
      </c>
      <c r="H35" s="111" t="s">
        <v>383</v>
      </c>
      <c r="I35" s="111" t="s">
        <v>383</v>
      </c>
      <c r="J35" s="111" t="s">
        <v>383</v>
      </c>
    </row>
    <row r="36" spans="1:10">
      <c r="A36" s="72" t="s">
        <v>368</v>
      </c>
      <c r="B36" s="76" t="s">
        <v>214</v>
      </c>
      <c r="C36" s="76" t="s">
        <v>444</v>
      </c>
      <c r="D36" s="76">
        <v>2019</v>
      </c>
      <c r="E36" s="76" t="s">
        <v>383</v>
      </c>
      <c r="F36" s="76" t="s">
        <v>383</v>
      </c>
      <c r="G36" s="76" t="s">
        <v>384</v>
      </c>
      <c r="H36" s="76" t="s">
        <v>383</v>
      </c>
      <c r="I36" s="76" t="s">
        <v>383</v>
      </c>
      <c r="J36" s="76" t="s">
        <v>383</v>
      </c>
    </row>
    <row r="37" spans="1:10">
      <c r="A37" s="72" t="s">
        <v>349</v>
      </c>
      <c r="B37" s="111" t="s">
        <v>195</v>
      </c>
      <c r="C37" s="111" t="s">
        <v>285</v>
      </c>
      <c r="D37" s="111">
        <v>2019</v>
      </c>
      <c r="E37" s="111" t="s">
        <v>383</v>
      </c>
      <c r="F37" s="111" t="s">
        <v>383</v>
      </c>
      <c r="G37" s="111" t="s">
        <v>383</v>
      </c>
      <c r="H37" s="111" t="s">
        <v>383</v>
      </c>
      <c r="I37" s="111" t="s">
        <v>383</v>
      </c>
      <c r="J37" s="111" t="s">
        <v>383</v>
      </c>
    </row>
    <row r="38" spans="1:10">
      <c r="A38" s="72" t="s">
        <v>360</v>
      </c>
      <c r="B38" s="111" t="s">
        <v>206</v>
      </c>
      <c r="C38" s="111" t="s">
        <v>446</v>
      </c>
      <c r="D38" s="111">
        <v>2019</v>
      </c>
      <c r="E38" s="111" t="s">
        <v>383</v>
      </c>
      <c r="F38" s="111" t="s">
        <v>383</v>
      </c>
      <c r="G38" s="111" t="s">
        <v>384</v>
      </c>
      <c r="H38" s="111" t="s">
        <v>384</v>
      </c>
      <c r="I38" s="111" t="s">
        <v>384</v>
      </c>
      <c r="J38" s="111" t="s">
        <v>384</v>
      </c>
    </row>
    <row r="39" spans="1:10">
      <c r="A39" s="72" t="s">
        <v>338</v>
      </c>
      <c r="B39" s="111" t="s">
        <v>184</v>
      </c>
      <c r="C39" s="111" t="s">
        <v>451</v>
      </c>
      <c r="D39" s="111">
        <v>2019</v>
      </c>
      <c r="E39" s="111" t="s">
        <v>383</v>
      </c>
      <c r="F39" s="111" t="s">
        <v>383</v>
      </c>
      <c r="G39" s="111" t="s">
        <v>384</v>
      </c>
      <c r="H39" s="111" t="s">
        <v>383</v>
      </c>
      <c r="I39" s="111" t="s">
        <v>383</v>
      </c>
      <c r="J39" s="111" t="s">
        <v>383</v>
      </c>
    </row>
    <row r="40" spans="1:10">
      <c r="A40" s="110" t="s">
        <v>327</v>
      </c>
      <c r="B40" s="111" t="s">
        <v>173</v>
      </c>
      <c r="C40" s="111" t="s">
        <v>296</v>
      </c>
      <c r="D40" s="111">
        <v>2019</v>
      </c>
      <c r="E40" s="111" t="s">
        <v>384</v>
      </c>
      <c r="F40" s="111" t="s">
        <v>383</v>
      </c>
      <c r="G40" s="111" t="s">
        <v>383</v>
      </c>
      <c r="H40" s="111" t="s">
        <v>383</v>
      </c>
      <c r="I40" s="111" t="s">
        <v>383</v>
      </c>
      <c r="J40" s="111" t="s">
        <v>383</v>
      </c>
    </row>
    <row r="41" spans="1:10">
      <c r="A41" s="72" t="s">
        <v>363</v>
      </c>
      <c r="B41" s="111" t="s">
        <v>209</v>
      </c>
      <c r="C41" s="111" t="s">
        <v>307</v>
      </c>
      <c r="D41" s="111">
        <v>2019</v>
      </c>
      <c r="E41" s="111" t="s">
        <v>383</v>
      </c>
      <c r="F41" s="111" t="s">
        <v>383</v>
      </c>
      <c r="G41" s="111" t="s">
        <v>384</v>
      </c>
      <c r="H41" s="111" t="s">
        <v>383</v>
      </c>
      <c r="I41" s="111" t="s">
        <v>383</v>
      </c>
      <c r="J41" s="111" t="s">
        <v>383</v>
      </c>
    </row>
    <row r="42" spans="1:10">
      <c r="A42" s="110" t="s">
        <v>351</v>
      </c>
      <c r="B42" s="111" t="s">
        <v>197</v>
      </c>
      <c r="C42" s="111" t="s">
        <v>319</v>
      </c>
      <c r="D42" s="111">
        <v>2019</v>
      </c>
      <c r="E42" s="111" t="s">
        <v>383</v>
      </c>
      <c r="F42" s="111" t="s">
        <v>383</v>
      </c>
      <c r="G42" s="111" t="s">
        <v>383</v>
      </c>
      <c r="H42" s="111" t="s">
        <v>384</v>
      </c>
      <c r="I42" s="111" t="s">
        <v>383</v>
      </c>
      <c r="J42" s="111" t="s">
        <v>383</v>
      </c>
    </row>
    <row r="43" spans="1:10">
      <c r="A43" s="110" t="s">
        <v>367</v>
      </c>
      <c r="B43" s="111" t="s">
        <v>213</v>
      </c>
      <c r="C43" s="111" t="s">
        <v>305</v>
      </c>
      <c r="D43" s="111">
        <v>2018</v>
      </c>
      <c r="E43" s="111" t="s">
        <v>384</v>
      </c>
      <c r="F43" s="111" t="s">
        <v>383</v>
      </c>
      <c r="G43" s="111" t="s">
        <v>383</v>
      </c>
      <c r="H43" s="111" t="s">
        <v>384</v>
      </c>
      <c r="I43" s="111" t="s">
        <v>383</v>
      </c>
      <c r="J43" s="111" t="s">
        <v>384</v>
      </c>
    </row>
    <row r="44" spans="1:10">
      <c r="A44" s="72" t="s">
        <v>370</v>
      </c>
      <c r="B44" s="76" t="s">
        <v>216</v>
      </c>
      <c r="C44" s="76" t="s">
        <v>304</v>
      </c>
      <c r="D44" s="76">
        <v>2018</v>
      </c>
      <c r="E44" s="76" t="s">
        <v>383</v>
      </c>
      <c r="F44" s="76" t="s">
        <v>383</v>
      </c>
      <c r="G44" s="76" t="s">
        <v>383</v>
      </c>
      <c r="H44" s="76" t="s">
        <v>383</v>
      </c>
      <c r="I44" s="76" t="s">
        <v>383</v>
      </c>
      <c r="J44" s="76" t="s">
        <v>383</v>
      </c>
    </row>
    <row r="45" spans="1:10">
      <c r="A45" s="72" t="s">
        <v>326</v>
      </c>
      <c r="B45" s="76" t="s">
        <v>172</v>
      </c>
      <c r="C45" s="76" t="s">
        <v>278</v>
      </c>
      <c r="D45" s="76">
        <v>2018</v>
      </c>
      <c r="E45" s="76" t="s">
        <v>384</v>
      </c>
      <c r="F45" s="76" t="s">
        <v>383</v>
      </c>
      <c r="G45" s="76" t="s">
        <v>383</v>
      </c>
      <c r="H45" s="76" t="s">
        <v>384</v>
      </c>
      <c r="I45" s="76" t="s">
        <v>384</v>
      </c>
      <c r="J45" s="76" t="s">
        <v>384</v>
      </c>
    </row>
    <row r="46" spans="1:10">
      <c r="A46" s="72" t="s">
        <v>341</v>
      </c>
      <c r="B46" s="76" t="s">
        <v>187</v>
      </c>
      <c r="C46" s="76" t="s">
        <v>449</v>
      </c>
      <c r="D46" s="76">
        <v>2018</v>
      </c>
      <c r="E46" s="76" t="s">
        <v>384</v>
      </c>
      <c r="F46" s="76" t="s">
        <v>383</v>
      </c>
      <c r="G46" s="76" t="s">
        <v>384</v>
      </c>
      <c r="H46" s="76" t="s">
        <v>384</v>
      </c>
      <c r="I46" s="76" t="s">
        <v>383</v>
      </c>
      <c r="J46" s="75" t="s">
        <v>383</v>
      </c>
    </row>
    <row r="47" spans="1:10">
      <c r="A47" s="72" t="s">
        <v>376</v>
      </c>
      <c r="B47" s="76" t="s">
        <v>221</v>
      </c>
      <c r="C47" s="72" t="s">
        <v>294</v>
      </c>
      <c r="D47" s="76">
        <v>2018</v>
      </c>
      <c r="E47" s="76" t="s">
        <v>384</v>
      </c>
      <c r="F47" s="76" t="s">
        <v>383</v>
      </c>
      <c r="G47" s="76" t="s">
        <v>384</v>
      </c>
      <c r="H47" s="75" t="s">
        <v>384</v>
      </c>
      <c r="I47" s="76" t="s">
        <v>383</v>
      </c>
      <c r="J47" s="76" t="s">
        <v>383</v>
      </c>
    </row>
    <row r="48" spans="1:10">
      <c r="A48" s="72" t="s">
        <v>365</v>
      </c>
      <c r="B48" s="76" t="s">
        <v>211</v>
      </c>
      <c r="C48" s="76" t="s">
        <v>290</v>
      </c>
      <c r="D48" s="76">
        <v>2017</v>
      </c>
      <c r="E48" s="76" t="s">
        <v>383</v>
      </c>
      <c r="F48" s="76" t="s">
        <v>383</v>
      </c>
      <c r="G48" s="76" t="s">
        <v>383</v>
      </c>
      <c r="H48" s="76" t="s">
        <v>383</v>
      </c>
      <c r="I48" s="76" t="s">
        <v>383</v>
      </c>
      <c r="J48" s="76" t="s">
        <v>383</v>
      </c>
    </row>
    <row r="49" spans="1:10">
      <c r="A49" s="72" t="s">
        <v>334</v>
      </c>
      <c r="B49" s="111" t="s">
        <v>180</v>
      </c>
      <c r="C49" s="111" t="s">
        <v>281</v>
      </c>
      <c r="D49" s="111">
        <v>2017</v>
      </c>
      <c r="E49" s="111" t="s">
        <v>383</v>
      </c>
      <c r="F49" s="111" t="s">
        <v>383</v>
      </c>
      <c r="G49" s="111" t="s">
        <v>383</v>
      </c>
      <c r="H49" s="111" t="s">
        <v>383</v>
      </c>
      <c r="I49" s="111" t="s">
        <v>383</v>
      </c>
      <c r="J49" s="111" t="s">
        <v>383</v>
      </c>
    </row>
    <row r="50" spans="1:10">
      <c r="A50" s="72" t="s">
        <v>361</v>
      </c>
      <c r="B50" s="111" t="s">
        <v>207</v>
      </c>
      <c r="C50" s="111" t="s">
        <v>308</v>
      </c>
      <c r="D50" s="111">
        <v>2017</v>
      </c>
      <c r="E50" s="111" t="s">
        <v>383</v>
      </c>
      <c r="F50" s="111" t="s">
        <v>383</v>
      </c>
      <c r="G50" s="111" t="s">
        <v>383</v>
      </c>
      <c r="H50" s="111" t="s">
        <v>383</v>
      </c>
      <c r="I50" s="111" t="s">
        <v>383</v>
      </c>
      <c r="J50" s="111" t="s">
        <v>383</v>
      </c>
    </row>
    <row r="51" spans="1:10">
      <c r="A51" s="110" t="s">
        <v>328</v>
      </c>
      <c r="B51" s="111" t="s">
        <v>174</v>
      </c>
      <c r="C51" s="111" t="s">
        <v>279</v>
      </c>
      <c r="D51" s="111">
        <v>2017</v>
      </c>
      <c r="E51" s="111" t="s">
        <v>383</v>
      </c>
      <c r="F51" s="111" t="s">
        <v>383</v>
      </c>
      <c r="G51" s="111" t="s">
        <v>383</v>
      </c>
      <c r="H51" s="111" t="s">
        <v>383</v>
      </c>
      <c r="I51" s="111" t="s">
        <v>383</v>
      </c>
      <c r="J51" s="111" t="s">
        <v>383</v>
      </c>
    </row>
    <row r="52" spans="1:10">
      <c r="A52" s="72" t="s">
        <v>357</v>
      </c>
      <c r="B52" s="76" t="s">
        <v>203</v>
      </c>
      <c r="C52" s="76" t="s">
        <v>321</v>
      </c>
      <c r="D52" s="76">
        <v>2016</v>
      </c>
      <c r="E52" s="76" t="s">
        <v>383</v>
      </c>
      <c r="F52" s="76" t="s">
        <v>383</v>
      </c>
      <c r="G52" s="76" t="s">
        <v>383</v>
      </c>
      <c r="H52" s="75" t="s">
        <v>383</v>
      </c>
      <c r="I52" s="76" t="s">
        <v>383</v>
      </c>
      <c r="J52" s="75" t="s">
        <v>383</v>
      </c>
    </row>
    <row r="53" spans="1:10">
      <c r="A53" s="72" t="s">
        <v>324</v>
      </c>
      <c r="B53" s="111" t="s">
        <v>170</v>
      </c>
      <c r="C53" s="111" t="s">
        <v>276</v>
      </c>
      <c r="D53" s="111">
        <v>2016</v>
      </c>
      <c r="E53" s="111" t="s">
        <v>383</v>
      </c>
      <c r="F53" s="111" t="s">
        <v>383</v>
      </c>
      <c r="G53" s="111" t="s">
        <v>383</v>
      </c>
      <c r="H53" s="111" t="s">
        <v>383</v>
      </c>
      <c r="I53" s="111" t="s">
        <v>383</v>
      </c>
      <c r="J53" s="111" t="s">
        <v>383</v>
      </c>
    </row>
    <row r="54" spans="1:10">
      <c r="A54" s="72" t="s">
        <v>345</v>
      </c>
      <c r="B54" s="76" t="s">
        <v>191</v>
      </c>
      <c r="C54" s="76" t="s">
        <v>317</v>
      </c>
      <c r="D54" s="76">
        <v>2016</v>
      </c>
      <c r="E54" s="76" t="s">
        <v>383</v>
      </c>
      <c r="F54" s="76" t="s">
        <v>383</v>
      </c>
      <c r="G54" s="76" t="s">
        <v>383</v>
      </c>
      <c r="H54" s="76" t="s">
        <v>383</v>
      </c>
      <c r="I54" s="76" t="s">
        <v>383</v>
      </c>
      <c r="J54" s="76" t="s">
        <v>383</v>
      </c>
    </row>
    <row r="55" spans="1:10">
      <c r="A55" s="72" t="s">
        <v>335</v>
      </c>
      <c r="B55" s="76" t="s">
        <v>181</v>
      </c>
      <c r="C55" s="76" t="s">
        <v>314</v>
      </c>
      <c r="D55" s="76">
        <v>2015</v>
      </c>
      <c r="E55" s="76" t="s">
        <v>383</v>
      </c>
      <c r="F55" s="76" t="s">
        <v>383</v>
      </c>
      <c r="G55" s="75" t="s">
        <v>384</v>
      </c>
      <c r="H55" s="76" t="s">
        <v>383</v>
      </c>
      <c r="I55" s="76" t="s">
        <v>383</v>
      </c>
      <c r="J55" s="76" t="s">
        <v>383</v>
      </c>
    </row>
    <row r="56" spans="1:10">
      <c r="A56" s="72" t="s">
        <v>348</v>
      </c>
      <c r="B56" s="76" t="s">
        <v>194</v>
      </c>
      <c r="C56" s="76" t="s">
        <v>318</v>
      </c>
      <c r="D56" s="76">
        <v>2015</v>
      </c>
      <c r="E56" s="76" t="s">
        <v>383</v>
      </c>
      <c r="F56" s="76" t="s">
        <v>383</v>
      </c>
      <c r="G56" s="76" t="s">
        <v>383</v>
      </c>
      <c r="H56" s="76" t="s">
        <v>383</v>
      </c>
      <c r="I56" s="76" t="s">
        <v>383</v>
      </c>
      <c r="J56" s="76" t="s">
        <v>383</v>
      </c>
    </row>
    <row r="57" spans="1:10">
      <c r="A57" s="72" t="s">
        <v>342</v>
      </c>
      <c r="B57" s="76" t="s">
        <v>188</v>
      </c>
      <c r="C57" s="76" t="s">
        <v>315</v>
      </c>
      <c r="D57" s="76">
        <v>2015</v>
      </c>
      <c r="E57" s="76" t="s">
        <v>383</v>
      </c>
      <c r="F57" s="76" t="s">
        <v>383</v>
      </c>
      <c r="G57" s="76" t="s">
        <v>383</v>
      </c>
      <c r="H57" s="76" t="s">
        <v>383</v>
      </c>
      <c r="I57" s="76" t="s">
        <v>383</v>
      </c>
      <c r="J57" s="76" t="s">
        <v>383</v>
      </c>
    </row>
    <row r="58" spans="1:10">
      <c r="A58" s="72" t="s">
        <v>332</v>
      </c>
      <c r="B58" s="76" t="s">
        <v>178</v>
      </c>
      <c r="C58" s="76" t="s">
        <v>313</v>
      </c>
      <c r="D58" s="76">
        <v>2015</v>
      </c>
      <c r="E58" s="76" t="s">
        <v>383</v>
      </c>
      <c r="F58" s="76" t="s">
        <v>383</v>
      </c>
      <c r="G58" s="76" t="s">
        <v>383</v>
      </c>
      <c r="H58" s="76" t="s">
        <v>383</v>
      </c>
      <c r="I58" s="76" t="s">
        <v>383</v>
      </c>
      <c r="J58" s="76" t="s">
        <v>383</v>
      </c>
    </row>
    <row r="59" spans="1:10">
      <c r="A59" s="72" t="s">
        <v>353</v>
      </c>
      <c r="B59" s="76" t="s">
        <v>199</v>
      </c>
      <c r="C59" s="76" t="s">
        <v>287</v>
      </c>
      <c r="D59" s="76">
        <v>2014</v>
      </c>
      <c r="E59" s="76" t="s">
        <v>383</v>
      </c>
      <c r="F59" s="76" t="s">
        <v>383</v>
      </c>
      <c r="G59" s="76" t="s">
        <v>384</v>
      </c>
      <c r="H59" s="76" t="s">
        <v>383</v>
      </c>
      <c r="I59" s="76" t="s">
        <v>383</v>
      </c>
      <c r="J59" s="76" t="s">
        <v>383</v>
      </c>
    </row>
    <row r="60" spans="1:10">
      <c r="A60" s="72" t="s">
        <v>352</v>
      </c>
      <c r="B60" s="76" t="s">
        <v>198</v>
      </c>
      <c r="C60" s="76" t="s">
        <v>320</v>
      </c>
      <c r="D60" s="76">
        <v>2014</v>
      </c>
      <c r="E60" s="76" t="s">
        <v>383</v>
      </c>
      <c r="F60" s="76" t="s">
        <v>383</v>
      </c>
      <c r="G60" s="76" t="s">
        <v>383</v>
      </c>
      <c r="H60" s="76" t="s">
        <v>383</v>
      </c>
      <c r="I60" s="76" t="s">
        <v>383</v>
      </c>
      <c r="J60" s="76" t="s">
        <v>383</v>
      </c>
    </row>
    <row r="61" spans="1:10">
      <c r="A61" s="72" t="s">
        <v>375</v>
      </c>
      <c r="B61" s="76" t="s">
        <v>220</v>
      </c>
      <c r="C61" s="72" t="s">
        <v>293</v>
      </c>
      <c r="D61" s="76">
        <v>2013</v>
      </c>
      <c r="E61" s="76" t="s">
        <v>383</v>
      </c>
      <c r="F61" s="76" t="s">
        <v>383</v>
      </c>
      <c r="G61" s="76" t="s">
        <v>383</v>
      </c>
      <c r="H61" s="76" t="s">
        <v>383</v>
      </c>
      <c r="I61" s="76" t="s">
        <v>383</v>
      </c>
      <c r="J61" s="76" t="s">
        <v>383</v>
      </c>
    </row>
    <row r="62" spans="1:10">
      <c r="A62" s="72" t="s">
        <v>331</v>
      </c>
      <c r="B62" s="111" t="s">
        <v>177</v>
      </c>
      <c r="C62" s="111" t="s">
        <v>280</v>
      </c>
      <c r="D62" s="111">
        <v>2013</v>
      </c>
      <c r="E62" s="76" t="s">
        <v>383</v>
      </c>
      <c r="F62" s="76" t="s">
        <v>383</v>
      </c>
      <c r="G62" s="76" t="s">
        <v>383</v>
      </c>
      <c r="H62" s="76" t="s">
        <v>383</v>
      </c>
      <c r="I62" s="76" t="s">
        <v>383</v>
      </c>
      <c r="J62" s="75" t="s">
        <v>384</v>
      </c>
    </row>
    <row r="63" spans="1:10">
      <c r="A63" s="72" t="s">
        <v>325</v>
      </c>
      <c r="B63" s="76" t="s">
        <v>171</v>
      </c>
      <c r="C63" s="76" t="s">
        <v>277</v>
      </c>
      <c r="D63" s="76">
        <v>2011</v>
      </c>
      <c r="E63" s="76" t="s">
        <v>383</v>
      </c>
      <c r="F63" s="76" t="s">
        <v>383</v>
      </c>
      <c r="G63" s="76" t="s">
        <v>383</v>
      </c>
      <c r="H63" s="76" t="s">
        <v>384</v>
      </c>
      <c r="I63" s="76" t="s">
        <v>383</v>
      </c>
      <c r="J63" s="76" t="s">
        <v>384</v>
      </c>
    </row>
    <row r="64" spans="1:10">
      <c r="A64" s="72" t="s">
        <v>347</v>
      </c>
      <c r="B64" s="76" t="s">
        <v>193</v>
      </c>
      <c r="C64" s="76" t="s">
        <v>312</v>
      </c>
      <c r="D64" s="76">
        <v>2004</v>
      </c>
      <c r="E64" s="76" t="s">
        <v>383</v>
      </c>
      <c r="F64" s="76" t="s">
        <v>383</v>
      </c>
      <c r="G64" s="76" t="s">
        <v>383</v>
      </c>
      <c r="H64" s="76" t="s">
        <v>383</v>
      </c>
      <c r="I64" s="76" t="s">
        <v>383</v>
      </c>
      <c r="J64" s="76" t="s">
        <v>383</v>
      </c>
    </row>
    <row r="65" spans="1:10">
      <c r="A65" s="72" t="s">
        <v>340</v>
      </c>
      <c r="B65" s="76" t="s">
        <v>186</v>
      </c>
      <c r="C65" s="76" t="s">
        <v>282</v>
      </c>
      <c r="D65" s="76">
        <v>1996</v>
      </c>
      <c r="E65" s="76" t="s">
        <v>383</v>
      </c>
      <c r="F65" s="76" t="s">
        <v>383</v>
      </c>
      <c r="G65" s="76" t="s">
        <v>384</v>
      </c>
      <c r="H65" s="76" t="s">
        <v>383</v>
      </c>
      <c r="I65" s="76" t="s">
        <v>383</v>
      </c>
      <c r="J65" s="76" t="s">
        <v>383</v>
      </c>
    </row>
    <row r="68" spans="1:10">
      <c r="C68" s="71" t="s">
        <v>1645</v>
      </c>
      <c r="D68" s="71" t="s">
        <v>1646</v>
      </c>
    </row>
    <row r="69" spans="1:10">
      <c r="C69" s="71">
        <v>2024</v>
      </c>
      <c r="D69" s="71">
        <f>COUNTIF(Table1[pub_year],C69)</f>
        <v>4</v>
      </c>
    </row>
    <row r="70" spans="1:10">
      <c r="C70" s="71">
        <v>2023</v>
      </c>
      <c r="D70" s="71">
        <f>COUNTIF(Table1[pub_year],C70)</f>
        <v>6</v>
      </c>
    </row>
    <row r="71" spans="1:10">
      <c r="C71" s="71">
        <v>2022</v>
      </c>
      <c r="D71" s="71">
        <f>COUNTIF(Table1[pub_year],C71)</f>
        <v>13</v>
      </c>
    </row>
    <row r="72" spans="1:10">
      <c r="C72" s="71">
        <v>2021</v>
      </c>
      <c r="D72" s="71">
        <f>COUNTIF(Table1[pub_year],C72)</f>
        <v>3</v>
      </c>
    </row>
    <row r="73" spans="1:10">
      <c r="C73" s="71">
        <v>2020</v>
      </c>
      <c r="D73" s="71">
        <f>COUNTIF(Table1[pub_year],C73)</f>
        <v>6</v>
      </c>
    </row>
    <row r="74" spans="1:10">
      <c r="C74" s="71">
        <v>2019</v>
      </c>
      <c r="D74" s="71">
        <f>COUNTIF(Table1[pub_year],C74)</f>
        <v>7</v>
      </c>
    </row>
    <row r="75" spans="1:10">
      <c r="C75" s="71">
        <v>2018</v>
      </c>
      <c r="D75" s="71">
        <f>COUNTIF(Table1[pub_year],C75)</f>
        <v>5</v>
      </c>
    </row>
    <row r="76" spans="1:10">
      <c r="C76" s="71">
        <v>2017</v>
      </c>
      <c r="D76" s="71">
        <f>COUNTIF(Table1[pub_year],C76)</f>
        <v>4</v>
      </c>
    </row>
    <row r="77" spans="1:10">
      <c r="C77" s="71">
        <v>2016</v>
      </c>
      <c r="D77" s="71">
        <f>COUNTIF(Table1[pub_year],C77)</f>
        <v>3</v>
      </c>
    </row>
    <row r="78" spans="1:10">
      <c r="C78" s="71">
        <v>2015</v>
      </c>
      <c r="D78" s="71">
        <f>COUNTIF(Table1[pub_year],C78)</f>
        <v>4</v>
      </c>
    </row>
    <row r="79" spans="1:10">
      <c r="C79" s="71">
        <v>2014</v>
      </c>
      <c r="D79" s="71">
        <f>COUNTIF(Table1[pub_year],C79)</f>
        <v>2</v>
      </c>
    </row>
    <row r="80" spans="1:10">
      <c r="C80" s="71">
        <v>2013</v>
      </c>
      <c r="D80" s="71">
        <f>COUNTIF(Table1[pub_year],C80)</f>
        <v>2</v>
      </c>
    </row>
    <row r="81" spans="3:4">
      <c r="C81" s="71">
        <v>2012</v>
      </c>
      <c r="D81" s="71">
        <f>COUNTIF(Table1[pub_year],C81)</f>
        <v>0</v>
      </c>
    </row>
    <row r="82" spans="3:4">
      <c r="C82" s="71">
        <v>2011</v>
      </c>
      <c r="D82" s="71">
        <f>COUNTIF(Table1[pub_year],C82)</f>
        <v>1</v>
      </c>
    </row>
    <row r="83" spans="3:4">
      <c r="C83" s="71">
        <v>2010</v>
      </c>
      <c r="D83" s="71">
        <f>COUNTIF(Table1[pub_year],C83)</f>
        <v>0</v>
      </c>
    </row>
    <row r="84" spans="3:4">
      <c r="C84" s="71">
        <v>2009</v>
      </c>
      <c r="D84" s="71">
        <f>COUNTIF(Table1[pub_year],C84)</f>
        <v>0</v>
      </c>
    </row>
    <row r="85" spans="3:4">
      <c r="C85" s="71">
        <v>2008</v>
      </c>
      <c r="D85" s="71">
        <f>COUNTIF(Table1[pub_year],C85)</f>
        <v>0</v>
      </c>
    </row>
    <row r="86" spans="3:4">
      <c r="C86" s="71">
        <v>2007</v>
      </c>
      <c r="D86" s="71">
        <f>COUNTIF(Table1[pub_year],C86)</f>
        <v>0</v>
      </c>
    </row>
    <row r="87" spans="3:4">
      <c r="C87" s="71">
        <v>2006</v>
      </c>
      <c r="D87" s="71">
        <f>COUNTIF(Table1[pub_year],C87)</f>
        <v>0</v>
      </c>
    </row>
    <row r="88" spans="3:4">
      <c r="C88" s="71">
        <v>2005</v>
      </c>
      <c r="D88" s="71">
        <f>COUNTIF(Table1[pub_year],C88)</f>
        <v>0</v>
      </c>
    </row>
    <row r="89" spans="3:4">
      <c r="C89" s="71">
        <v>2004</v>
      </c>
      <c r="D89" s="71">
        <f>COUNTIF(Table1[pub_year],C89)</f>
        <v>1</v>
      </c>
    </row>
    <row r="90" spans="3:4">
      <c r="C90" s="71">
        <v>2003</v>
      </c>
      <c r="D90" s="71">
        <f>COUNTIF(Table1[pub_year],C90)</f>
        <v>0</v>
      </c>
    </row>
    <row r="91" spans="3:4">
      <c r="C91" s="71">
        <v>2002</v>
      </c>
      <c r="D91" s="71">
        <f>COUNTIF(Table1[pub_year],C91)</f>
        <v>0</v>
      </c>
    </row>
    <row r="92" spans="3:4">
      <c r="C92" s="71">
        <v>2001</v>
      </c>
      <c r="D92" s="71">
        <f>COUNTIF(Table1[pub_year],C92)</f>
        <v>0</v>
      </c>
    </row>
    <row r="93" spans="3:4">
      <c r="C93" s="71">
        <v>2000</v>
      </c>
      <c r="D93" s="71">
        <f>COUNTIF(Table1[pub_year],C93)</f>
        <v>0</v>
      </c>
    </row>
    <row r="94" spans="3:4">
      <c r="C94" s="71">
        <v>1999</v>
      </c>
      <c r="D94" s="71">
        <f>COUNTIF(Table1[pub_year],C94)</f>
        <v>0</v>
      </c>
    </row>
    <row r="95" spans="3:4">
      <c r="C95" s="71">
        <v>1998</v>
      </c>
      <c r="D95" s="71">
        <f>COUNTIF(Table1[pub_year],C95)</f>
        <v>0</v>
      </c>
    </row>
    <row r="96" spans="3:4">
      <c r="C96" s="71">
        <v>1997</v>
      </c>
      <c r="D96" s="71">
        <f>COUNTIF(Table1[pub_year],C96)</f>
        <v>0</v>
      </c>
    </row>
    <row r="97" spans="3:4">
      <c r="C97" s="71">
        <v>1996</v>
      </c>
      <c r="D97" s="71">
        <f>COUNTIF(Table1[pub_year],C97)</f>
        <v>1</v>
      </c>
    </row>
  </sheetData>
  <mergeCells count="1">
    <mergeCell ref="E1:J1"/>
  </mergeCells>
  <pageMargins left="0.7" right="0.7" top="0.75" bottom="0.75" header="0.3" footer="0.3"/>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D0D83-F918-40CE-8565-9F02376F22A1}">
  <dimension ref="B3:F42"/>
  <sheetViews>
    <sheetView topLeftCell="A46" workbookViewId="0">
      <selection activeCell="C10" sqref="C10"/>
    </sheetView>
  </sheetViews>
  <sheetFormatPr defaultColWidth="8.875" defaultRowHeight="15.75"/>
  <sheetData>
    <row r="3" spans="2:6">
      <c r="C3" t="s">
        <v>929</v>
      </c>
      <c r="F3" t="s">
        <v>91</v>
      </c>
    </row>
    <row r="4" spans="2:6">
      <c r="B4" t="s">
        <v>932</v>
      </c>
      <c r="C4">
        <v>7342</v>
      </c>
      <c r="F4">
        <v>42</v>
      </c>
    </row>
    <row r="5" spans="2:6">
      <c r="C5">
        <v>2197</v>
      </c>
      <c r="F5" s="106">
        <v>12</v>
      </c>
    </row>
    <row r="6" spans="2:6">
      <c r="C6">
        <v>3197</v>
      </c>
      <c r="F6" s="106">
        <v>17</v>
      </c>
    </row>
    <row r="7" spans="2:6">
      <c r="C7">
        <v>4301</v>
      </c>
      <c r="F7" s="106">
        <v>23</v>
      </c>
    </row>
    <row r="8" spans="2:6">
      <c r="C8">
        <v>6276</v>
      </c>
      <c r="F8" s="106">
        <v>13</v>
      </c>
    </row>
    <row r="9" spans="2:6">
      <c r="C9">
        <v>14355</v>
      </c>
      <c r="F9" s="106">
        <v>71</v>
      </c>
    </row>
    <row r="10" spans="2:6">
      <c r="B10" t="s">
        <v>931</v>
      </c>
      <c r="C10">
        <f>SUM(C4:C9)</f>
        <v>37668</v>
      </c>
      <c r="F10" s="107">
        <v>178</v>
      </c>
    </row>
    <row r="11" spans="2:6">
      <c r="F11" s="106"/>
    </row>
    <row r="12" spans="2:6">
      <c r="B12" t="s">
        <v>930</v>
      </c>
      <c r="C12">
        <v>5803</v>
      </c>
      <c r="F12" s="106">
        <v>38</v>
      </c>
    </row>
    <row r="13" spans="2:6">
      <c r="C13">
        <v>1754</v>
      </c>
      <c r="F13" s="106">
        <v>9</v>
      </c>
    </row>
    <row r="14" spans="2:6">
      <c r="C14">
        <v>3197</v>
      </c>
      <c r="F14" s="106">
        <v>17</v>
      </c>
    </row>
    <row r="15" spans="2:6">
      <c r="C15">
        <v>4301</v>
      </c>
      <c r="F15" s="106">
        <v>23</v>
      </c>
    </row>
    <row r="16" spans="2:6">
      <c r="C16">
        <v>1299</v>
      </c>
      <c r="F16" s="106">
        <v>9</v>
      </c>
    </row>
    <row r="17" spans="2:6">
      <c r="C17">
        <v>10308</v>
      </c>
      <c r="F17" s="106">
        <v>47</v>
      </c>
    </row>
    <row r="18" spans="2:6">
      <c r="B18" t="s">
        <v>931</v>
      </c>
      <c r="C18">
        <f>SUM(C12:C17)</f>
        <v>26662</v>
      </c>
      <c r="F18" s="107">
        <v>143</v>
      </c>
    </row>
    <row r="19" spans="2:6">
      <c r="F19" s="106"/>
    </row>
    <row r="20" spans="2:6">
      <c r="B20" t="s">
        <v>933</v>
      </c>
      <c r="C20">
        <v>5027</v>
      </c>
      <c r="F20" s="106">
        <v>35</v>
      </c>
    </row>
    <row r="21" spans="2:6">
      <c r="C21">
        <v>1243</v>
      </c>
      <c r="F21" s="106">
        <v>8</v>
      </c>
    </row>
    <row r="22" spans="2:6">
      <c r="C22">
        <v>2581</v>
      </c>
      <c r="F22" s="106">
        <v>15</v>
      </c>
    </row>
    <row r="23" spans="2:6">
      <c r="C23">
        <v>3685</v>
      </c>
      <c r="F23" s="106">
        <v>21</v>
      </c>
    </row>
    <row r="24" spans="2:6">
      <c r="C24">
        <v>3107</v>
      </c>
      <c r="F24" s="106">
        <v>15</v>
      </c>
    </row>
    <row r="25" spans="2:6">
      <c r="C25">
        <v>8629</v>
      </c>
      <c r="F25" s="106">
        <v>36</v>
      </c>
    </row>
    <row r="26" spans="2:6">
      <c r="B26" t="s">
        <v>931</v>
      </c>
      <c r="C26">
        <f>SUM(C20:C25)</f>
        <v>24272</v>
      </c>
      <c r="F26" s="107">
        <v>130</v>
      </c>
    </row>
    <row r="27" spans="2:6">
      <c r="F27" s="106"/>
    </row>
    <row r="28" spans="2:6">
      <c r="B28" t="s">
        <v>934</v>
      </c>
      <c r="C28">
        <v>4881</v>
      </c>
      <c r="F28" s="106">
        <v>33</v>
      </c>
    </row>
    <row r="29" spans="2:6">
      <c r="C29">
        <v>1176</v>
      </c>
      <c r="F29" s="106">
        <v>7</v>
      </c>
    </row>
    <row r="30" spans="2:6">
      <c r="C30">
        <v>2514</v>
      </c>
      <c r="F30" s="106">
        <v>14</v>
      </c>
    </row>
    <row r="31" spans="2:6">
      <c r="C31">
        <v>3539</v>
      </c>
      <c r="F31" s="106">
        <v>19</v>
      </c>
    </row>
    <row r="32" spans="2:6">
      <c r="C32">
        <v>1421</v>
      </c>
      <c r="F32" s="106">
        <v>8</v>
      </c>
    </row>
    <row r="33" spans="2:6">
      <c r="C33">
        <v>7405</v>
      </c>
      <c r="F33" s="106">
        <v>38</v>
      </c>
    </row>
    <row r="34" spans="2:6">
      <c r="B34" t="s">
        <v>931</v>
      </c>
      <c r="C34">
        <f>SUM(C28:C33)</f>
        <v>20936</v>
      </c>
      <c r="F34" s="107">
        <v>119</v>
      </c>
    </row>
    <row r="35" spans="2:6">
      <c r="F35" s="106"/>
    </row>
    <row r="36" spans="2:6">
      <c r="B36" t="s">
        <v>935</v>
      </c>
      <c r="C36">
        <v>5809</v>
      </c>
      <c r="F36" s="106">
        <v>37</v>
      </c>
    </row>
    <row r="37" spans="2:6">
      <c r="C37">
        <v>1839</v>
      </c>
      <c r="F37" s="106">
        <v>9</v>
      </c>
    </row>
    <row r="38" spans="2:6">
      <c r="C38">
        <v>3130</v>
      </c>
      <c r="F38" s="106">
        <v>16</v>
      </c>
    </row>
    <row r="39" spans="2:6">
      <c r="C39">
        <v>4155</v>
      </c>
      <c r="F39" s="106">
        <v>21</v>
      </c>
    </row>
    <row r="40" spans="2:6">
      <c r="C40">
        <v>2383</v>
      </c>
      <c r="F40" s="106">
        <v>12</v>
      </c>
    </row>
    <row r="41" spans="2:6">
      <c r="C41">
        <v>6700</v>
      </c>
      <c r="F41" s="106">
        <v>34</v>
      </c>
    </row>
    <row r="42" spans="2:6">
      <c r="B42" t="s">
        <v>931</v>
      </c>
      <c r="C42">
        <f>SUM(C36:C41)</f>
        <v>24016</v>
      </c>
      <c r="F42" s="107">
        <v>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157EE-F90F-4BC0-BD12-F9AD2324F209}">
  <dimension ref="F18:I29"/>
  <sheetViews>
    <sheetView workbookViewId="0">
      <selection activeCell="O13" sqref="O13"/>
    </sheetView>
  </sheetViews>
  <sheetFormatPr defaultColWidth="8.875" defaultRowHeight="15.75"/>
  <sheetData>
    <row r="18" spans="6:9">
      <c r="G18" s="105" t="s">
        <v>912</v>
      </c>
      <c r="H18" s="105" t="s">
        <v>913</v>
      </c>
      <c r="I18" s="105" t="s">
        <v>914</v>
      </c>
    </row>
    <row r="19" spans="6:9" ht="31.5">
      <c r="F19" s="106" t="s">
        <v>915</v>
      </c>
      <c r="G19" s="106">
        <v>164</v>
      </c>
      <c r="H19" s="106">
        <v>143</v>
      </c>
      <c r="I19" s="106">
        <v>307</v>
      </c>
    </row>
    <row r="20" spans="6:9" ht="31.5">
      <c r="F20" s="106" t="s">
        <v>916</v>
      </c>
      <c r="G20" s="106">
        <v>191</v>
      </c>
      <c r="H20" s="106">
        <v>172</v>
      </c>
      <c r="I20" s="106">
        <v>363</v>
      </c>
    </row>
    <row r="21" spans="6:9" ht="31.5">
      <c r="F21" s="106" t="s">
        <v>917</v>
      </c>
      <c r="G21" s="106">
        <v>704</v>
      </c>
      <c r="H21" s="106">
        <v>551</v>
      </c>
      <c r="I21" s="106">
        <v>1255</v>
      </c>
    </row>
    <row r="22" spans="6:9" ht="31.5">
      <c r="F22" s="106" t="s">
        <v>918</v>
      </c>
      <c r="G22" s="106">
        <v>283</v>
      </c>
      <c r="H22" s="106">
        <v>274</v>
      </c>
      <c r="I22" s="106">
        <v>557</v>
      </c>
    </row>
    <row r="23" spans="6:9" ht="63">
      <c r="F23" s="106" t="s">
        <v>919</v>
      </c>
      <c r="G23" s="106">
        <v>154</v>
      </c>
      <c r="H23" s="106">
        <v>148</v>
      </c>
      <c r="I23" s="106">
        <v>302</v>
      </c>
    </row>
    <row r="24" spans="6:9" ht="31.5">
      <c r="F24" s="106" t="s">
        <v>920</v>
      </c>
      <c r="G24" s="106">
        <v>363</v>
      </c>
      <c r="H24" s="106">
        <v>345</v>
      </c>
      <c r="I24" s="106">
        <v>708</v>
      </c>
    </row>
    <row r="25" spans="6:9" ht="47.25">
      <c r="F25" s="106" t="s">
        <v>921</v>
      </c>
      <c r="G25" s="106">
        <v>104</v>
      </c>
      <c r="H25" s="106">
        <v>95</v>
      </c>
      <c r="I25" s="106">
        <v>199</v>
      </c>
    </row>
    <row r="26" spans="6:9" ht="47.25">
      <c r="F26" s="106" t="s">
        <v>922</v>
      </c>
      <c r="G26" s="106">
        <v>132</v>
      </c>
      <c r="H26" s="106">
        <v>142</v>
      </c>
      <c r="I26" s="106">
        <v>274</v>
      </c>
    </row>
    <row r="27" spans="6:9" ht="47.25">
      <c r="F27" s="106" t="s">
        <v>923</v>
      </c>
      <c r="G27" s="106">
        <v>161</v>
      </c>
      <c r="H27" s="106">
        <v>153</v>
      </c>
      <c r="I27" s="106">
        <v>314</v>
      </c>
    </row>
    <row r="28" spans="6:9" ht="31.5">
      <c r="F28" s="106" t="s">
        <v>924</v>
      </c>
      <c r="G28" s="106">
        <v>215</v>
      </c>
      <c r="H28" s="106">
        <v>217</v>
      </c>
      <c r="I28" s="106">
        <v>432</v>
      </c>
    </row>
    <row r="29" spans="6:9">
      <c r="G29">
        <v>3492</v>
      </c>
      <c r="H29">
        <v>1219</v>
      </c>
      <c r="I29">
        <v>4711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B1E27-0810-2B44-A9B5-930108E01ADF}">
  <dimension ref="B3:G63"/>
  <sheetViews>
    <sheetView topLeftCell="A36" zoomScale="115" zoomScaleNormal="115" workbookViewId="0">
      <selection activeCell="C52" sqref="C52"/>
    </sheetView>
  </sheetViews>
  <sheetFormatPr defaultColWidth="11" defaultRowHeight="15.75"/>
  <sheetData>
    <row r="3" spans="2:7">
      <c r="B3">
        <v>1717</v>
      </c>
    </row>
    <row r="4" spans="2:7">
      <c r="B4" s="81">
        <v>1262</v>
      </c>
    </row>
    <row r="5" spans="2:7">
      <c r="B5">
        <v>772</v>
      </c>
      <c r="C5" s="81">
        <v>374</v>
      </c>
      <c r="D5" t="s">
        <v>640</v>
      </c>
    </row>
    <row r="6" spans="2:7">
      <c r="B6">
        <v>558</v>
      </c>
      <c r="G6">
        <v>99490</v>
      </c>
    </row>
    <row r="7" spans="2:7">
      <c r="B7">
        <v>2574</v>
      </c>
      <c r="G7" s="85" t="s">
        <v>645</v>
      </c>
    </row>
    <row r="8" spans="2:7" ht="18">
      <c r="B8">
        <v>1906</v>
      </c>
      <c r="G8" s="84" t="s">
        <v>644</v>
      </c>
    </row>
    <row r="9" spans="2:7">
      <c r="B9">
        <v>2581</v>
      </c>
    </row>
    <row r="10" spans="2:7">
      <c r="B10">
        <v>1078</v>
      </c>
    </row>
    <row r="11" spans="2:7">
      <c r="B11">
        <v>1558</v>
      </c>
    </row>
    <row r="12" spans="2:7">
      <c r="B12">
        <v>127</v>
      </c>
    </row>
    <row r="13" spans="2:7">
      <c r="B13">
        <v>13478</v>
      </c>
    </row>
    <row r="14" spans="2:7">
      <c r="B14">
        <v>5648</v>
      </c>
      <c r="G14">
        <f>SUM(G6,B30,B31)</f>
        <v>101344</v>
      </c>
    </row>
    <row r="15" spans="2:7">
      <c r="B15">
        <v>3803</v>
      </c>
    </row>
    <row r="16" spans="2:7">
      <c r="B16">
        <v>3171</v>
      </c>
    </row>
    <row r="17" spans="2:4">
      <c r="B17">
        <v>1717</v>
      </c>
    </row>
    <row r="18" spans="2:4">
      <c r="B18">
        <v>4745</v>
      </c>
    </row>
    <row r="19" spans="2:4">
      <c r="B19">
        <v>399</v>
      </c>
    </row>
    <row r="20" spans="2:4">
      <c r="B20">
        <v>11797</v>
      </c>
    </row>
    <row r="21" spans="2:4">
      <c r="B21">
        <v>13588</v>
      </c>
    </row>
    <row r="22" spans="2:4">
      <c r="B22">
        <v>1063</v>
      </c>
    </row>
    <row r="23" spans="2:4">
      <c r="B23">
        <v>694</v>
      </c>
    </row>
    <row r="24" spans="2:4">
      <c r="B24">
        <f>C24</f>
        <v>16099</v>
      </c>
      <c r="C24" s="83">
        <v>16099</v>
      </c>
      <c r="D24" s="82" t="s">
        <v>639</v>
      </c>
    </row>
    <row r="25" spans="2:4">
      <c r="B25">
        <v>540</v>
      </c>
    </row>
    <row r="26" spans="2:4">
      <c r="B26" s="82">
        <f>C26*D26</f>
        <v>750.36</v>
      </c>
      <c r="C26" s="83">
        <v>28.86</v>
      </c>
      <c r="D26" s="83">
        <v>26</v>
      </c>
    </row>
    <row r="27" spans="2:4">
      <c r="B27">
        <f>C27</f>
        <v>659</v>
      </c>
      <c r="C27" s="82">
        <v>659</v>
      </c>
      <c r="D27" s="82" t="s">
        <v>639</v>
      </c>
    </row>
    <row r="28" spans="2:4">
      <c r="B28">
        <v>1519</v>
      </c>
    </row>
    <row r="29" spans="2:4">
      <c r="B29">
        <v>5782</v>
      </c>
    </row>
    <row r="30" spans="2:4">
      <c r="B30">
        <v>1570</v>
      </c>
    </row>
    <row r="31" spans="2:4">
      <c r="B31">
        <v>284</v>
      </c>
    </row>
    <row r="33" spans="2:5">
      <c r="B33" s="85">
        <f>SUM(B3:B31)</f>
        <v>101439.36</v>
      </c>
    </row>
    <row r="39" spans="2:5">
      <c r="B39" t="s">
        <v>684</v>
      </c>
    </row>
    <row r="40" spans="2:5">
      <c r="B40">
        <v>12</v>
      </c>
      <c r="D40" s="88" t="s">
        <v>685</v>
      </c>
    </row>
    <row r="41" spans="2:5">
      <c r="B41">
        <v>5</v>
      </c>
      <c r="D41" s="90">
        <v>1404</v>
      </c>
    </row>
    <row r="42" spans="2:5">
      <c r="B42">
        <v>11</v>
      </c>
      <c r="D42" s="90">
        <v>2776</v>
      </c>
    </row>
    <row r="43" spans="2:5">
      <c r="B43">
        <v>5</v>
      </c>
      <c r="D43">
        <v>875</v>
      </c>
    </row>
    <row r="44" spans="2:5">
      <c r="B44">
        <v>13</v>
      </c>
      <c r="D44" s="91">
        <v>4424</v>
      </c>
    </row>
    <row r="45" spans="2:5">
      <c r="C45">
        <f>SUM(B40:B44)</f>
        <v>46</v>
      </c>
      <c r="D45" s="91"/>
      <c r="E45" s="90">
        <f>SUM(D41:D44)</f>
        <v>9479</v>
      </c>
    </row>
    <row r="46" spans="2:5">
      <c r="B46">
        <v>7</v>
      </c>
      <c r="D46" s="90">
        <v>1188</v>
      </c>
    </row>
    <row r="47" spans="2:5">
      <c r="B47">
        <v>6</v>
      </c>
      <c r="D47" s="88">
        <v>975</v>
      </c>
    </row>
    <row r="48" spans="2:5">
      <c r="B48">
        <v>6</v>
      </c>
      <c r="D48" s="88">
        <v>975</v>
      </c>
    </row>
    <row r="49" spans="2:5">
      <c r="B49">
        <v>6</v>
      </c>
      <c r="D49" s="88">
        <v>981</v>
      </c>
    </row>
    <row r="50" spans="2:5">
      <c r="B50">
        <v>5</v>
      </c>
      <c r="D50" s="88">
        <v>894</v>
      </c>
    </row>
    <row r="51" spans="2:5">
      <c r="B51">
        <v>3</v>
      </c>
      <c r="D51" s="88">
        <v>881</v>
      </c>
    </row>
    <row r="52" spans="2:5">
      <c r="B52">
        <v>4</v>
      </c>
      <c r="D52" s="88">
        <v>660</v>
      </c>
    </row>
    <row r="53" spans="2:5">
      <c r="B53">
        <v>20</v>
      </c>
      <c r="D53" s="91">
        <v>8463</v>
      </c>
      <c r="E53" s="90">
        <f>SUM(D46:D53)</f>
        <v>15017</v>
      </c>
    </row>
    <row r="54" spans="2:5">
      <c r="C54">
        <f>SUM(B46:B53)</f>
        <v>57</v>
      </c>
    </row>
    <row r="55" spans="2:5">
      <c r="B55">
        <v>6</v>
      </c>
    </row>
    <row r="56" spans="2:5">
      <c r="B56">
        <v>8</v>
      </c>
    </row>
    <row r="57" spans="2:5">
      <c r="B57">
        <v>113</v>
      </c>
    </row>
    <row r="58" spans="2:5">
      <c r="B58">
        <v>87</v>
      </c>
    </row>
    <row r="59" spans="2:5">
      <c r="B59">
        <v>69</v>
      </c>
    </row>
    <row r="60" spans="2:5">
      <c r="B60">
        <v>42</v>
      </c>
    </row>
    <row r="61" spans="2:5">
      <c r="B61">
        <v>73</v>
      </c>
    </row>
    <row r="62" spans="2:5">
      <c r="B62">
        <v>13</v>
      </c>
    </row>
    <row r="63" spans="2:5">
      <c r="B63" s="89">
        <f>SUM(B40:B62)</f>
        <v>514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1529F-C686-324E-8053-EA91D5E07345}">
  <dimension ref="A1:S138"/>
  <sheetViews>
    <sheetView topLeftCell="A106" zoomScale="130" zoomScaleNormal="130" workbookViewId="0">
      <selection activeCell="L18" sqref="L18:S19"/>
    </sheetView>
  </sheetViews>
  <sheetFormatPr defaultColWidth="10.5" defaultRowHeight="15.75"/>
  <sheetData>
    <row r="1" spans="1:8">
      <c r="A1" s="72" t="s">
        <v>329</v>
      </c>
    </row>
    <row r="4" spans="1:8">
      <c r="B4" s="82" t="s">
        <v>831</v>
      </c>
    </row>
    <row r="5" spans="1:8">
      <c r="A5" t="s">
        <v>830</v>
      </c>
    </row>
    <row r="6" spans="1:8">
      <c r="B6" s="95">
        <v>219</v>
      </c>
      <c r="C6" s="96">
        <v>40125</v>
      </c>
      <c r="H6">
        <v>4973</v>
      </c>
    </row>
    <row r="7" spans="1:8">
      <c r="B7" s="95">
        <v>49</v>
      </c>
      <c r="C7">
        <v>0</v>
      </c>
      <c r="D7" s="90"/>
      <c r="H7" s="94">
        <v>707</v>
      </c>
    </row>
    <row r="8" spans="1:8">
      <c r="B8" s="95">
        <v>36</v>
      </c>
      <c r="C8" s="96">
        <v>2128</v>
      </c>
      <c r="H8" s="94">
        <v>3032</v>
      </c>
    </row>
    <row r="9" spans="1:8">
      <c r="B9" s="95">
        <v>24</v>
      </c>
      <c r="C9" s="96">
        <v>4116</v>
      </c>
      <c r="H9" s="94">
        <v>4493</v>
      </c>
    </row>
    <row r="10" spans="1:8">
      <c r="B10" s="95">
        <v>108</v>
      </c>
      <c r="C10">
        <v>0</v>
      </c>
      <c r="H10" s="94">
        <v>1078</v>
      </c>
    </row>
    <row r="11" spans="1:8">
      <c r="B11" s="95">
        <v>85</v>
      </c>
      <c r="C11" s="100">
        <v>36793</v>
      </c>
      <c r="H11" s="94">
        <v>3803</v>
      </c>
    </row>
    <row r="12" spans="1:8">
      <c r="B12" s="95">
        <v>45</v>
      </c>
      <c r="C12" s="96">
        <v>2044</v>
      </c>
      <c r="H12" s="94">
        <v>11797</v>
      </c>
    </row>
    <row r="13" spans="1:8">
      <c r="B13" s="95">
        <v>68</v>
      </c>
      <c r="C13" s="96">
        <v>8274</v>
      </c>
      <c r="H13" s="94">
        <v>16099</v>
      </c>
    </row>
    <row r="14" spans="1:8">
      <c r="B14" s="95">
        <v>59</v>
      </c>
      <c r="C14" s="96">
        <v>3500</v>
      </c>
      <c r="H14" s="94">
        <f>28.86*26</f>
        <v>750.36</v>
      </c>
    </row>
    <row r="15" spans="1:8">
      <c r="B15" s="95">
        <v>17</v>
      </c>
      <c r="C15" s="96">
        <v>0</v>
      </c>
      <c r="H15" s="94">
        <v>659</v>
      </c>
    </row>
    <row r="16" spans="1:8">
      <c r="B16" s="95">
        <v>7</v>
      </c>
      <c r="C16" s="96">
        <v>240</v>
      </c>
      <c r="H16" s="94">
        <v>1519</v>
      </c>
    </row>
    <row r="17" spans="2:19">
      <c r="B17" s="88">
        <v>11</v>
      </c>
      <c r="C17" s="96">
        <v>0</v>
      </c>
      <c r="H17" s="94">
        <v>142</v>
      </c>
    </row>
    <row r="18" spans="2:19">
      <c r="B18" s="88">
        <v>19</v>
      </c>
      <c r="C18" s="90">
        <v>2570</v>
      </c>
      <c r="H18">
        <f>SUM(H6:H17)</f>
        <v>49052.36</v>
      </c>
      <c r="L18" s="139"/>
      <c r="M18" s="139"/>
      <c r="N18" s="139"/>
      <c r="O18" s="139"/>
      <c r="P18" s="139"/>
      <c r="Q18" s="139"/>
      <c r="R18" s="139"/>
      <c r="S18" s="139"/>
    </row>
    <row r="19" spans="2:19">
      <c r="B19" s="95">
        <v>118</v>
      </c>
      <c r="C19" s="96">
        <v>12398</v>
      </c>
      <c r="L19" s="139"/>
      <c r="M19" s="139"/>
      <c r="N19" s="139"/>
      <c r="O19" s="139"/>
      <c r="P19" s="139"/>
      <c r="Q19" s="139"/>
      <c r="R19" s="139"/>
      <c r="S19" s="139"/>
    </row>
    <row r="20" spans="2:19">
      <c r="B20" s="95">
        <v>16</v>
      </c>
      <c r="C20" s="96">
        <v>1684</v>
      </c>
    </row>
    <row r="21" spans="2:19">
      <c r="B21" s="95">
        <v>19</v>
      </c>
      <c r="C21" s="96">
        <v>2373</v>
      </c>
    </row>
    <row r="22" spans="2:19">
      <c r="B22" s="95">
        <v>39</v>
      </c>
      <c r="C22" s="96">
        <v>2103</v>
      </c>
    </row>
    <row r="23" spans="2:19">
      <c r="B23" s="95">
        <v>166</v>
      </c>
      <c r="C23" s="96">
        <v>8111</v>
      </c>
    </row>
    <row r="24" spans="2:19">
      <c r="B24" s="95">
        <v>9</v>
      </c>
      <c r="C24" s="95">
        <v>587</v>
      </c>
    </row>
    <row r="25" spans="2:19">
      <c r="B25" s="88">
        <v>45</v>
      </c>
      <c r="C25" s="96">
        <v>9639</v>
      </c>
    </row>
    <row r="26" spans="2:19">
      <c r="B26" s="88">
        <v>47</v>
      </c>
      <c r="C26" s="96">
        <v>0</v>
      </c>
    </row>
    <row r="27" spans="2:19">
      <c r="B27" s="88">
        <v>50</v>
      </c>
      <c r="C27" s="96">
        <v>20443</v>
      </c>
    </row>
    <row r="28" spans="2:19">
      <c r="B28" s="95">
        <v>16</v>
      </c>
      <c r="C28" s="95">
        <v>986</v>
      </c>
    </row>
    <row r="29" spans="2:19">
      <c r="B29" s="95">
        <v>39</v>
      </c>
      <c r="C29" s="95">
        <v>0</v>
      </c>
    </row>
    <row r="30" spans="2:19">
      <c r="B30" s="95">
        <v>14</v>
      </c>
      <c r="C30" s="95">
        <v>1126</v>
      </c>
    </row>
    <row r="31" spans="2:19">
      <c r="B31" s="88">
        <v>14</v>
      </c>
      <c r="C31" s="95">
        <v>0</v>
      </c>
    </row>
    <row r="32" spans="2:19">
      <c r="B32" s="95">
        <v>52</v>
      </c>
      <c r="C32" s="96">
        <v>4522</v>
      </c>
    </row>
    <row r="33" spans="1:3">
      <c r="B33" s="95">
        <v>21</v>
      </c>
      <c r="C33" s="96">
        <v>1313</v>
      </c>
    </row>
    <row r="34" spans="1:3">
      <c r="B34" s="95">
        <v>54</v>
      </c>
      <c r="C34" s="96">
        <v>5616</v>
      </c>
    </row>
    <row r="35" spans="1:3">
      <c r="B35" s="95">
        <v>43</v>
      </c>
      <c r="C35" s="96">
        <v>3088</v>
      </c>
    </row>
    <row r="36" spans="1:3">
      <c r="B36" s="95">
        <v>84</v>
      </c>
      <c r="C36" s="96">
        <v>60553</v>
      </c>
    </row>
    <row r="37" spans="1:3">
      <c r="B37" s="95">
        <v>13</v>
      </c>
      <c r="C37" s="96">
        <v>813</v>
      </c>
    </row>
    <row r="38" spans="1:3">
      <c r="B38" s="95">
        <v>27</v>
      </c>
      <c r="C38" s="90">
        <v>16513</v>
      </c>
    </row>
    <row r="39" spans="1:3">
      <c r="B39" s="95">
        <v>11</v>
      </c>
      <c r="C39" s="96">
        <v>1528</v>
      </c>
    </row>
    <row r="40" spans="1:3">
      <c r="B40" s="95">
        <v>67</v>
      </c>
      <c r="C40" s="96">
        <v>0</v>
      </c>
    </row>
    <row r="41" spans="1:3">
      <c r="B41" s="95">
        <v>33</v>
      </c>
      <c r="C41" s="96">
        <v>0</v>
      </c>
    </row>
    <row r="42" spans="1:3">
      <c r="B42" s="95">
        <v>31</v>
      </c>
      <c r="C42" s="95">
        <v>287</v>
      </c>
    </row>
    <row r="43" spans="1:3">
      <c r="A43" t="s">
        <v>845</v>
      </c>
      <c r="B43" s="101">
        <v>6</v>
      </c>
      <c r="C43" s="102">
        <v>464</v>
      </c>
    </row>
    <row r="44" spans="1:3">
      <c r="B44" s="103">
        <v>158</v>
      </c>
      <c r="C44" s="96">
        <v>11597</v>
      </c>
    </row>
    <row r="45" spans="1:3">
      <c r="B45" s="95">
        <v>333</v>
      </c>
      <c r="C45" s="96">
        <v>0</v>
      </c>
    </row>
    <row r="46" spans="1:3">
      <c r="B46" s="95">
        <v>26</v>
      </c>
      <c r="C46" s="96">
        <v>2032</v>
      </c>
    </row>
    <row r="47" spans="1:3">
      <c r="B47" s="95">
        <v>16</v>
      </c>
      <c r="C47" s="96">
        <v>941</v>
      </c>
    </row>
    <row r="48" spans="1:3">
      <c r="B48" s="95">
        <v>85</v>
      </c>
      <c r="C48" s="96">
        <v>60500</v>
      </c>
    </row>
    <row r="49" spans="2:3">
      <c r="B49" s="95">
        <v>74</v>
      </c>
      <c r="C49" s="96">
        <v>56500</v>
      </c>
    </row>
    <row r="50" spans="2:3">
      <c r="B50" s="95">
        <v>21</v>
      </c>
      <c r="C50" s="95">
        <v>959</v>
      </c>
    </row>
    <row r="51" spans="2:3">
      <c r="B51" s="95">
        <v>91</v>
      </c>
      <c r="C51" s="96">
        <v>7388</v>
      </c>
    </row>
    <row r="52" spans="2:3">
      <c r="B52" s="95">
        <v>35</v>
      </c>
      <c r="C52" s="96">
        <v>1518</v>
      </c>
    </row>
    <row r="53" spans="2:3">
      <c r="B53" s="95">
        <v>39</v>
      </c>
      <c r="C53" s="96">
        <v>5294</v>
      </c>
    </row>
    <row r="54" spans="2:3">
      <c r="B54" s="95">
        <v>10</v>
      </c>
      <c r="C54" s="95">
        <v>552</v>
      </c>
    </row>
    <row r="55" spans="2:3">
      <c r="B55" s="95">
        <v>24</v>
      </c>
      <c r="C55" s="96">
        <v>4256</v>
      </c>
    </row>
    <row r="56" spans="2:3">
      <c r="B56" s="95">
        <v>64</v>
      </c>
      <c r="C56" s="96">
        <v>11286</v>
      </c>
    </row>
    <row r="57" spans="2:3">
      <c r="B57" s="95">
        <v>19</v>
      </c>
      <c r="C57" s="96">
        <v>0</v>
      </c>
    </row>
    <row r="58" spans="2:3">
      <c r="B58" s="95">
        <v>166</v>
      </c>
      <c r="C58" s="96">
        <v>7776</v>
      </c>
    </row>
    <row r="59" spans="2:3">
      <c r="B59" s="95">
        <v>60</v>
      </c>
      <c r="C59" s="96">
        <v>0</v>
      </c>
    </row>
    <row r="60" spans="2:3">
      <c r="B60" s="95">
        <v>56</v>
      </c>
      <c r="C60" s="96">
        <v>9238</v>
      </c>
    </row>
    <row r="61" spans="2:3">
      <c r="B61" s="95">
        <v>84</v>
      </c>
      <c r="C61" s="96">
        <v>0</v>
      </c>
    </row>
    <row r="62" spans="2:3">
      <c r="B62" s="95">
        <v>15</v>
      </c>
      <c r="C62" s="96">
        <v>53029</v>
      </c>
    </row>
    <row r="63" spans="2:3">
      <c r="B63" s="95">
        <v>35</v>
      </c>
      <c r="C63" s="96">
        <v>1847</v>
      </c>
    </row>
    <row r="64" spans="2:3">
      <c r="B64" s="95">
        <v>8</v>
      </c>
      <c r="C64" s="96">
        <v>3934</v>
      </c>
    </row>
    <row r="65" spans="2:3">
      <c r="B65" s="95">
        <v>154</v>
      </c>
      <c r="C65" s="96">
        <v>8719</v>
      </c>
    </row>
    <row r="66" spans="2:3">
      <c r="B66" s="95">
        <v>88</v>
      </c>
      <c r="C66" s="96">
        <v>9977</v>
      </c>
    </row>
    <row r="67" spans="2:3">
      <c r="B67" s="95">
        <v>14</v>
      </c>
      <c r="C67" s="96">
        <v>1235</v>
      </c>
    </row>
    <row r="68" spans="2:3">
      <c r="B68" s="95">
        <v>13</v>
      </c>
      <c r="C68" s="95">
        <v>868</v>
      </c>
    </row>
    <row r="69" spans="2:3">
      <c r="B69" s="95">
        <v>137</v>
      </c>
      <c r="C69" s="96">
        <v>4017</v>
      </c>
    </row>
    <row r="70" spans="2:3">
      <c r="B70" s="95">
        <v>33</v>
      </c>
      <c r="C70" s="96">
        <v>2008</v>
      </c>
    </row>
    <row r="71" spans="2:3">
      <c r="B71" s="95">
        <v>15</v>
      </c>
      <c r="C71" s="96">
        <v>1073</v>
      </c>
    </row>
    <row r="72" spans="2:3">
      <c r="B72" s="95">
        <v>10</v>
      </c>
      <c r="C72" s="95">
        <v>642</v>
      </c>
    </row>
    <row r="73" spans="2:3">
      <c r="B73" s="95">
        <v>123</v>
      </c>
      <c r="C73" s="96">
        <v>0</v>
      </c>
    </row>
    <row r="74" spans="2:3">
      <c r="B74" s="95">
        <v>212</v>
      </c>
      <c r="C74" s="96">
        <v>32096</v>
      </c>
    </row>
    <row r="75" spans="2:3">
      <c r="B75" s="95">
        <v>53</v>
      </c>
      <c r="C75" s="96">
        <v>14963</v>
      </c>
    </row>
    <row r="76" spans="2:3">
      <c r="B76" s="95">
        <v>86</v>
      </c>
      <c r="C76" s="96">
        <v>26095</v>
      </c>
    </row>
    <row r="77" spans="2:3">
      <c r="B77" s="95">
        <v>359</v>
      </c>
      <c r="C77" s="96">
        <v>3285</v>
      </c>
    </row>
    <row r="78" spans="2:3">
      <c r="B78" s="95">
        <v>37</v>
      </c>
      <c r="C78" s="96">
        <v>0</v>
      </c>
    </row>
    <row r="79" spans="2:3">
      <c r="B79" s="95">
        <v>22</v>
      </c>
      <c r="C79" s="96">
        <v>2191</v>
      </c>
    </row>
    <row r="80" spans="2:3">
      <c r="B80" s="95">
        <v>13</v>
      </c>
      <c r="C80" s="96">
        <v>3081</v>
      </c>
    </row>
    <row r="81" spans="2:3">
      <c r="B81" s="95">
        <v>56</v>
      </c>
      <c r="C81" s="96">
        <v>5351</v>
      </c>
    </row>
    <row r="82" spans="2:3">
      <c r="B82" s="95">
        <v>223</v>
      </c>
      <c r="C82" s="96">
        <v>9154</v>
      </c>
    </row>
    <row r="83" spans="2:3">
      <c r="B83" s="95">
        <v>39</v>
      </c>
      <c r="C83" s="96">
        <v>2758</v>
      </c>
    </row>
    <row r="84" spans="2:3">
      <c r="B84" s="95">
        <v>66</v>
      </c>
      <c r="C84" s="96">
        <v>11296</v>
      </c>
    </row>
    <row r="85" spans="2:3">
      <c r="B85" s="95">
        <v>879</v>
      </c>
      <c r="C85" s="96">
        <v>58585</v>
      </c>
    </row>
    <row r="86" spans="2:3">
      <c r="B86" s="95">
        <v>22</v>
      </c>
      <c r="C86" s="96">
        <v>3963</v>
      </c>
    </row>
    <row r="87" spans="2:3">
      <c r="B87" s="95">
        <v>22</v>
      </c>
      <c r="C87" s="96">
        <v>0</v>
      </c>
    </row>
    <row r="88" spans="2:3">
      <c r="B88" s="95">
        <v>89</v>
      </c>
      <c r="C88" s="96">
        <v>0</v>
      </c>
    </row>
    <row r="89" spans="2:3">
      <c r="B89" s="95">
        <v>20</v>
      </c>
      <c r="C89" s="96">
        <v>1298</v>
      </c>
    </row>
    <row r="90" spans="2:3">
      <c r="B90" s="95">
        <v>34</v>
      </c>
      <c r="C90" s="96">
        <v>36829</v>
      </c>
    </row>
    <row r="91" spans="2:3">
      <c r="B91" s="95">
        <v>17</v>
      </c>
      <c r="C91" s="96">
        <v>0</v>
      </c>
    </row>
    <row r="92" spans="2:3">
      <c r="B92" s="95">
        <v>32</v>
      </c>
      <c r="C92" s="96">
        <v>2104</v>
      </c>
    </row>
    <row r="93" spans="2:3">
      <c r="B93" s="95">
        <v>23</v>
      </c>
      <c r="C93" s="95">
        <v>954</v>
      </c>
    </row>
    <row r="94" spans="2:3">
      <c r="B94" s="95">
        <v>84</v>
      </c>
      <c r="C94" s="96">
        <v>6296</v>
      </c>
    </row>
    <row r="95" spans="2:3">
      <c r="B95" s="95">
        <v>20</v>
      </c>
      <c r="C95" s="96">
        <v>1014</v>
      </c>
    </row>
    <row r="96" spans="2:3">
      <c r="B96" s="95">
        <v>10</v>
      </c>
      <c r="C96" s="95">
        <v>635</v>
      </c>
    </row>
    <row r="97" spans="1:3">
      <c r="B97" s="95">
        <v>13</v>
      </c>
      <c r="C97" s="96">
        <v>17037</v>
      </c>
    </row>
    <row r="98" spans="1:3">
      <c r="B98" s="95">
        <v>38</v>
      </c>
      <c r="C98" s="96">
        <v>0</v>
      </c>
    </row>
    <row r="99" spans="1:3">
      <c r="B99" s="95">
        <v>419</v>
      </c>
      <c r="C99" s="96">
        <v>18749</v>
      </c>
    </row>
    <row r="100" spans="1:3">
      <c r="A100" t="s">
        <v>828</v>
      </c>
      <c r="B100" s="82"/>
      <c r="C100" s="82"/>
    </row>
    <row r="101" spans="1:3">
      <c r="B101" s="95">
        <v>318</v>
      </c>
      <c r="C101" s="96">
        <v>54775</v>
      </c>
    </row>
    <row r="102" spans="1:3">
      <c r="B102" s="95">
        <v>37</v>
      </c>
      <c r="C102" s="95">
        <v>623</v>
      </c>
    </row>
    <row r="103" spans="1:3">
      <c r="B103" s="95">
        <v>34</v>
      </c>
      <c r="C103" s="96">
        <v>2784</v>
      </c>
    </row>
    <row r="104" spans="1:3">
      <c r="B104" s="95">
        <v>27</v>
      </c>
      <c r="C104" s="96">
        <v>2200</v>
      </c>
    </row>
    <row r="105" spans="1:3">
      <c r="B105" s="95">
        <v>116</v>
      </c>
      <c r="C105" s="96">
        <v>7561</v>
      </c>
    </row>
    <row r="106" spans="1:3">
      <c r="B106" s="95">
        <v>71</v>
      </c>
      <c r="C106" s="96">
        <v>10920</v>
      </c>
    </row>
    <row r="107" spans="1:3">
      <c r="B107" s="95">
        <v>14</v>
      </c>
      <c r="C107" s="96">
        <v>1291</v>
      </c>
    </row>
    <row r="108" spans="1:3">
      <c r="B108" s="95">
        <v>38</v>
      </c>
      <c r="C108" s="96">
        <v>2215</v>
      </c>
    </row>
    <row r="109" spans="1:3">
      <c r="B109" s="95">
        <v>8</v>
      </c>
      <c r="C109" s="96">
        <v>3500</v>
      </c>
    </row>
    <row r="110" spans="1:3">
      <c r="B110" s="95">
        <v>59</v>
      </c>
      <c r="C110" s="96">
        <v>5779</v>
      </c>
    </row>
    <row r="111" spans="1:3">
      <c r="B111" s="95">
        <v>125</v>
      </c>
      <c r="C111" s="96">
        <v>20800</v>
      </c>
    </row>
    <row r="112" spans="1:3">
      <c r="A112" t="s">
        <v>829</v>
      </c>
      <c r="B112" s="82"/>
      <c r="C112" s="82"/>
    </row>
    <row r="113" spans="1:3">
      <c r="B113" s="95">
        <v>117</v>
      </c>
      <c r="C113" s="96">
        <v>0</v>
      </c>
    </row>
    <row r="114" spans="1:3">
      <c r="B114" s="95">
        <v>23</v>
      </c>
      <c r="C114" s="96">
        <v>3300</v>
      </c>
    </row>
    <row r="115" spans="1:3">
      <c r="B115" s="95">
        <v>8</v>
      </c>
      <c r="C115" s="95">
        <v>574</v>
      </c>
    </row>
    <row r="116" spans="1:3">
      <c r="B116" s="95">
        <v>51</v>
      </c>
      <c r="C116" s="96">
        <v>7033</v>
      </c>
    </row>
    <row r="117" spans="1:3">
      <c r="B117" s="95">
        <v>33</v>
      </c>
      <c r="C117" s="96">
        <v>6799</v>
      </c>
    </row>
    <row r="118" spans="1:3">
      <c r="B118" s="95">
        <v>21</v>
      </c>
      <c r="C118" s="96">
        <v>2000</v>
      </c>
    </row>
    <row r="119" spans="1:3">
      <c r="B119" s="95">
        <v>272</v>
      </c>
      <c r="C119" s="96">
        <v>0</v>
      </c>
    </row>
    <row r="120" spans="1:3">
      <c r="B120" s="95">
        <v>115</v>
      </c>
      <c r="C120" s="96">
        <v>7912</v>
      </c>
    </row>
    <row r="121" spans="1:3">
      <c r="B121" s="95">
        <v>71</v>
      </c>
      <c r="C121" s="96">
        <v>0</v>
      </c>
    </row>
    <row r="122" spans="1:3">
      <c r="B122" s="95">
        <v>95</v>
      </c>
      <c r="C122" s="96">
        <v>15386</v>
      </c>
    </row>
    <row r="123" spans="1:3">
      <c r="B123" s="95">
        <v>29</v>
      </c>
      <c r="C123" s="96">
        <v>5329</v>
      </c>
    </row>
    <row r="124" spans="1:3">
      <c r="B124" s="95">
        <v>69</v>
      </c>
      <c r="C124" s="96">
        <v>3338</v>
      </c>
    </row>
    <row r="125" spans="1:3">
      <c r="B125" s="95">
        <v>53</v>
      </c>
      <c r="C125" s="96">
        <v>0</v>
      </c>
    </row>
    <row r="126" spans="1:3">
      <c r="A126" t="s">
        <v>827</v>
      </c>
      <c r="B126" s="82"/>
      <c r="C126" s="82"/>
    </row>
    <row r="127" spans="1:3">
      <c r="B127" s="97">
        <f>SUM(B6:B125)</f>
        <v>8479</v>
      </c>
      <c r="C127" s="104">
        <f>SUM(C6:C125)</f>
        <v>942976</v>
      </c>
    </row>
    <row r="135" spans="2:2">
      <c r="B135" t="s">
        <v>826</v>
      </c>
    </row>
    <row r="136" spans="2:2">
      <c r="B136" t="s">
        <v>825</v>
      </c>
    </row>
    <row r="137" spans="2:2">
      <c r="B137" t="s">
        <v>824</v>
      </c>
    </row>
    <row r="138" spans="2:2">
      <c r="B138" t="s">
        <v>823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A97F2-CE5F-F548-AB2F-F4634763FFB1}">
  <dimension ref="A1:E63"/>
  <sheetViews>
    <sheetView topLeftCell="A10" workbookViewId="0">
      <selection activeCell="G60" sqref="G60"/>
    </sheetView>
  </sheetViews>
  <sheetFormatPr defaultColWidth="11" defaultRowHeight="15.75"/>
  <cols>
    <col min="1" max="1" width="26.375" style="71" customWidth="1"/>
    <col min="2" max="4" width="15.5" style="71" customWidth="1"/>
    <col min="5" max="5" width="19.625" customWidth="1"/>
  </cols>
  <sheetData>
    <row r="1" spans="1:5" ht="16.5" thickBot="1">
      <c r="A1" s="69" t="s">
        <v>77</v>
      </c>
      <c r="B1" s="11" t="s">
        <v>78</v>
      </c>
      <c r="C1" s="11" t="s">
        <v>79</v>
      </c>
      <c r="D1" s="11" t="s">
        <v>80</v>
      </c>
      <c r="E1" s="147" t="s">
        <v>1651</v>
      </c>
    </row>
    <row r="2" spans="1:5">
      <c r="A2" s="72" t="s">
        <v>353</v>
      </c>
      <c r="B2" s="76" t="s">
        <v>199</v>
      </c>
      <c r="C2" s="76" t="s">
        <v>287</v>
      </c>
      <c r="D2" s="76">
        <v>2014</v>
      </c>
      <c r="E2" s="76" t="s">
        <v>1650</v>
      </c>
    </row>
    <row r="3" spans="1:5">
      <c r="A3" s="72" t="s">
        <v>995</v>
      </c>
      <c r="B3" s="111" t="s">
        <v>174</v>
      </c>
      <c r="C3" s="111" t="s">
        <v>975</v>
      </c>
      <c r="D3" s="111">
        <v>2023</v>
      </c>
      <c r="E3" s="111" t="s">
        <v>1650</v>
      </c>
    </row>
    <row r="4" spans="1:5">
      <c r="A4" s="72" t="s">
        <v>352</v>
      </c>
      <c r="B4" s="76" t="s">
        <v>198</v>
      </c>
      <c r="C4" s="76" t="s">
        <v>320</v>
      </c>
      <c r="D4" s="76">
        <v>2014</v>
      </c>
      <c r="E4" s="76" t="s">
        <v>1650</v>
      </c>
    </row>
    <row r="5" spans="1:5">
      <c r="A5" s="72" t="s">
        <v>329</v>
      </c>
      <c r="B5" s="76" t="s">
        <v>175</v>
      </c>
      <c r="C5" s="76" t="s">
        <v>310</v>
      </c>
      <c r="D5" s="76">
        <v>2022</v>
      </c>
      <c r="E5" s="152" t="s">
        <v>1652</v>
      </c>
    </row>
    <row r="6" spans="1:5">
      <c r="A6" s="72" t="s">
        <v>347</v>
      </c>
      <c r="B6" s="76" t="s">
        <v>193</v>
      </c>
      <c r="C6" s="76" t="s">
        <v>312</v>
      </c>
      <c r="D6" s="76">
        <v>2004</v>
      </c>
      <c r="E6" s="152" t="s">
        <v>1652</v>
      </c>
    </row>
    <row r="7" spans="1:5">
      <c r="A7" s="110" t="s">
        <v>367</v>
      </c>
      <c r="B7" s="111" t="s">
        <v>213</v>
      </c>
      <c r="C7" s="111" t="s">
        <v>305</v>
      </c>
      <c r="D7" s="111">
        <v>2018</v>
      </c>
      <c r="E7" s="111" t="s">
        <v>1650</v>
      </c>
    </row>
    <row r="8" spans="1:5">
      <c r="A8" s="72" t="s">
        <v>365</v>
      </c>
      <c r="B8" s="76" t="s">
        <v>211</v>
      </c>
      <c r="C8" s="76" t="s">
        <v>290</v>
      </c>
      <c r="D8" s="76">
        <v>2017</v>
      </c>
      <c r="E8" s="76" t="s">
        <v>1650</v>
      </c>
    </row>
    <row r="9" spans="1:5">
      <c r="A9" s="72" t="s">
        <v>322</v>
      </c>
      <c r="B9" s="76" t="s">
        <v>167</v>
      </c>
      <c r="C9" s="76" t="s">
        <v>275</v>
      </c>
      <c r="D9" s="76">
        <v>2023</v>
      </c>
      <c r="E9" s="76" t="s">
        <v>1650</v>
      </c>
    </row>
    <row r="10" spans="1:5">
      <c r="A10" s="72" t="s">
        <v>334</v>
      </c>
      <c r="B10" s="111" t="s">
        <v>180</v>
      </c>
      <c r="C10" s="111" t="s">
        <v>281</v>
      </c>
      <c r="D10" s="111">
        <v>2017</v>
      </c>
      <c r="E10" s="111" t="s">
        <v>1650</v>
      </c>
    </row>
    <row r="11" spans="1:5" ht="16.5" thickBot="1">
      <c r="A11" s="72" t="s">
        <v>373</v>
      </c>
      <c r="B11" s="76" t="s">
        <v>174</v>
      </c>
      <c r="C11" s="72" t="s">
        <v>301</v>
      </c>
      <c r="D11" s="76">
        <v>2023</v>
      </c>
      <c r="E11" s="76" t="s">
        <v>1650</v>
      </c>
    </row>
    <row r="12" spans="1:5">
      <c r="A12" s="157" t="s">
        <v>335</v>
      </c>
      <c r="B12" s="158" t="s">
        <v>181</v>
      </c>
      <c r="C12" s="158" t="s">
        <v>314</v>
      </c>
      <c r="D12" s="159">
        <v>2015</v>
      </c>
      <c r="E12" s="76" t="s">
        <v>1650</v>
      </c>
    </row>
    <row r="13" spans="1:5">
      <c r="A13" s="160" t="s">
        <v>369</v>
      </c>
      <c r="B13" s="76" t="s">
        <v>215</v>
      </c>
      <c r="C13" s="76" t="s">
        <v>292</v>
      </c>
      <c r="D13" s="161">
        <v>2022</v>
      </c>
      <c r="E13" s="76" t="s">
        <v>1650</v>
      </c>
    </row>
    <row r="14" spans="1:5">
      <c r="A14" s="160" t="s">
        <v>346</v>
      </c>
      <c r="B14" s="76" t="s">
        <v>192</v>
      </c>
      <c r="C14" s="76" t="s">
        <v>284</v>
      </c>
      <c r="D14" s="161">
        <v>2022</v>
      </c>
      <c r="E14" s="76" t="s">
        <v>1650</v>
      </c>
    </row>
    <row r="15" spans="1:5">
      <c r="A15" s="160" t="s">
        <v>370</v>
      </c>
      <c r="B15" s="76" t="s">
        <v>216</v>
      </c>
      <c r="C15" s="76" t="s">
        <v>304</v>
      </c>
      <c r="D15" s="161">
        <v>2018</v>
      </c>
      <c r="E15" s="76" t="s">
        <v>1650</v>
      </c>
    </row>
    <row r="16" spans="1:5" ht="16.5" thickBot="1">
      <c r="A16" s="162" t="s">
        <v>348</v>
      </c>
      <c r="B16" s="163" t="s">
        <v>194</v>
      </c>
      <c r="C16" s="163" t="s">
        <v>318</v>
      </c>
      <c r="D16" s="164">
        <v>2015</v>
      </c>
      <c r="E16" s="76" t="s">
        <v>1650</v>
      </c>
    </row>
    <row r="17" spans="1:5">
      <c r="A17" s="157" t="s">
        <v>357</v>
      </c>
      <c r="B17" s="158" t="s">
        <v>203</v>
      </c>
      <c r="C17" s="158" t="s">
        <v>321</v>
      </c>
      <c r="D17" s="159">
        <v>2016</v>
      </c>
      <c r="E17" s="76" t="s">
        <v>1650</v>
      </c>
    </row>
    <row r="18" spans="1:5">
      <c r="A18" s="165" t="s">
        <v>374</v>
      </c>
      <c r="B18" s="111" t="s">
        <v>219</v>
      </c>
      <c r="C18" s="110" t="s">
        <v>300</v>
      </c>
      <c r="D18" s="166">
        <v>2023</v>
      </c>
      <c r="E18" s="76" t="s">
        <v>1650</v>
      </c>
    </row>
    <row r="19" spans="1:5">
      <c r="A19" s="165" t="s">
        <v>333</v>
      </c>
      <c r="B19" s="111" t="s">
        <v>179</v>
      </c>
      <c r="C19" s="111" t="s">
        <v>453</v>
      </c>
      <c r="D19" s="166">
        <v>2020</v>
      </c>
      <c r="E19" s="76" t="s">
        <v>1650</v>
      </c>
    </row>
    <row r="20" spans="1:5">
      <c r="A20" s="160" t="s">
        <v>368</v>
      </c>
      <c r="B20" s="76" t="s">
        <v>214</v>
      </c>
      <c r="C20" s="76" t="s">
        <v>444</v>
      </c>
      <c r="D20" s="161">
        <v>2019</v>
      </c>
      <c r="E20" s="76" t="s">
        <v>1650</v>
      </c>
    </row>
    <row r="21" spans="1:5" ht="16.5" thickBot="1">
      <c r="A21" s="162" t="s">
        <v>337</v>
      </c>
      <c r="B21" s="163" t="s">
        <v>183</v>
      </c>
      <c r="C21" s="163" t="s">
        <v>311</v>
      </c>
      <c r="D21" s="164">
        <v>2020</v>
      </c>
      <c r="E21" s="76" t="s">
        <v>1679</v>
      </c>
    </row>
    <row r="22" spans="1:5">
      <c r="A22" s="157" t="s">
        <v>349</v>
      </c>
      <c r="B22" s="168" t="s">
        <v>195</v>
      </c>
      <c r="C22" s="168" t="s">
        <v>285</v>
      </c>
      <c r="D22" s="169">
        <v>2019</v>
      </c>
      <c r="E22" s="76" t="s">
        <v>1650</v>
      </c>
    </row>
    <row r="23" spans="1:5">
      <c r="A23" s="160" t="s">
        <v>356</v>
      </c>
      <c r="B23" s="76" t="s">
        <v>202</v>
      </c>
      <c r="C23" s="76" t="s">
        <v>289</v>
      </c>
      <c r="D23" s="161">
        <v>2020</v>
      </c>
      <c r="E23" s="76" t="s">
        <v>1650</v>
      </c>
    </row>
    <row r="24" spans="1:5">
      <c r="A24" s="160" t="s">
        <v>336</v>
      </c>
      <c r="B24" s="76" t="s">
        <v>182</v>
      </c>
      <c r="C24" s="76" t="s">
        <v>452</v>
      </c>
      <c r="D24" s="161">
        <v>2021</v>
      </c>
      <c r="E24" s="76" t="s">
        <v>1650</v>
      </c>
    </row>
    <row r="25" spans="1:5">
      <c r="A25" s="160" t="s">
        <v>372</v>
      </c>
      <c r="B25" s="76" t="s">
        <v>218</v>
      </c>
      <c r="C25" s="76" t="s">
        <v>302</v>
      </c>
      <c r="D25" s="161">
        <v>2022</v>
      </c>
      <c r="E25" s="76" t="s">
        <v>1650</v>
      </c>
    </row>
    <row r="26" spans="1:5" ht="16.5" thickBot="1">
      <c r="A26" s="170" t="s">
        <v>350</v>
      </c>
      <c r="B26" s="171" t="s">
        <v>196</v>
      </c>
      <c r="C26" s="171" t="s">
        <v>286</v>
      </c>
      <c r="D26" s="172">
        <v>2022</v>
      </c>
      <c r="E26" s="76" t="s">
        <v>1650</v>
      </c>
    </row>
    <row r="27" spans="1:5">
      <c r="A27" s="157" t="s">
        <v>375</v>
      </c>
      <c r="B27" s="158" t="s">
        <v>220</v>
      </c>
      <c r="C27" s="173" t="s">
        <v>293</v>
      </c>
      <c r="D27" s="159">
        <v>2013</v>
      </c>
      <c r="E27" s="76" t="s">
        <v>1650</v>
      </c>
    </row>
    <row r="28" spans="1:5">
      <c r="A28" s="160" t="s">
        <v>326</v>
      </c>
      <c r="B28" s="76" t="s">
        <v>172</v>
      </c>
      <c r="C28" s="76" t="s">
        <v>278</v>
      </c>
      <c r="D28" s="161">
        <v>2018</v>
      </c>
      <c r="E28" s="76" t="s">
        <v>1679</v>
      </c>
    </row>
    <row r="29" spans="1:5">
      <c r="A29" s="160" t="s">
        <v>354</v>
      </c>
      <c r="B29" s="76" t="s">
        <v>200</v>
      </c>
      <c r="C29" s="76" t="s">
        <v>288</v>
      </c>
      <c r="D29" s="161">
        <v>2022</v>
      </c>
      <c r="E29" s="76" t="s">
        <v>1650</v>
      </c>
    </row>
    <row r="30" spans="1:5">
      <c r="A30" s="160" t="s">
        <v>341</v>
      </c>
      <c r="B30" s="76" t="s">
        <v>187</v>
      </c>
      <c r="C30" s="76" t="s">
        <v>449</v>
      </c>
      <c r="D30" s="161">
        <v>2018</v>
      </c>
      <c r="E30" s="76" t="s">
        <v>1650</v>
      </c>
    </row>
    <row r="31" spans="1:5" ht="16.5" thickBot="1">
      <c r="A31" s="160" t="s">
        <v>364</v>
      </c>
      <c r="B31" s="111" t="s">
        <v>210</v>
      </c>
      <c r="C31" s="111" t="s">
        <v>306</v>
      </c>
      <c r="D31" s="166">
        <v>2021</v>
      </c>
      <c r="E31" s="76" t="s">
        <v>1650</v>
      </c>
    </row>
    <row r="32" spans="1:5">
      <c r="A32" s="157" t="s">
        <v>331</v>
      </c>
      <c r="B32" s="168" t="s">
        <v>177</v>
      </c>
      <c r="C32" s="168" t="s">
        <v>280</v>
      </c>
      <c r="D32" s="168">
        <v>2013</v>
      </c>
      <c r="E32" s="76" t="s">
        <v>1650</v>
      </c>
    </row>
    <row r="33" spans="1:5">
      <c r="A33" s="160" t="s">
        <v>339</v>
      </c>
      <c r="B33" s="76" t="s">
        <v>185</v>
      </c>
      <c r="C33" s="76" t="s">
        <v>450</v>
      </c>
      <c r="D33" s="76">
        <v>2022</v>
      </c>
      <c r="E33" s="76" t="s">
        <v>1650</v>
      </c>
    </row>
    <row r="34" spans="1:5">
      <c r="A34" s="160" t="s">
        <v>358</v>
      </c>
      <c r="B34" s="76" t="s">
        <v>204</v>
      </c>
      <c r="C34" s="76" t="s">
        <v>447</v>
      </c>
      <c r="D34" s="76">
        <v>2020</v>
      </c>
      <c r="E34" s="76" t="s">
        <v>1650</v>
      </c>
    </row>
    <row r="35" spans="1:5">
      <c r="A35" s="160" t="s">
        <v>1359</v>
      </c>
      <c r="B35" s="111" t="s">
        <v>172</v>
      </c>
      <c r="C35" s="76" t="s">
        <v>1358</v>
      </c>
      <c r="D35" s="111">
        <v>2023</v>
      </c>
      <c r="E35" s="76" t="s">
        <v>1650</v>
      </c>
    </row>
    <row r="36" spans="1:5" ht="16.5" thickBot="1">
      <c r="A36" s="162" t="s">
        <v>362</v>
      </c>
      <c r="B36" s="163" t="s">
        <v>208</v>
      </c>
      <c r="C36" s="163" t="s">
        <v>445</v>
      </c>
      <c r="D36" s="163">
        <v>2022</v>
      </c>
      <c r="E36" s="76" t="s">
        <v>1650</v>
      </c>
    </row>
    <row r="37" spans="1:5">
      <c r="A37" s="175" t="s">
        <v>343</v>
      </c>
      <c r="B37" s="168" t="s">
        <v>189</v>
      </c>
      <c r="C37" s="168" t="s">
        <v>316</v>
      </c>
      <c r="D37" s="169">
        <v>2020</v>
      </c>
      <c r="E37" s="76" t="s">
        <v>1650</v>
      </c>
    </row>
    <row r="38" spans="1:5">
      <c r="A38" s="160" t="s">
        <v>360</v>
      </c>
      <c r="B38" s="111" t="s">
        <v>206</v>
      </c>
      <c r="C38" s="111" t="s">
        <v>446</v>
      </c>
      <c r="D38" s="166">
        <v>2019</v>
      </c>
      <c r="E38" s="76" t="s">
        <v>1650</v>
      </c>
    </row>
    <row r="39" spans="1:5">
      <c r="A39" s="160" t="s">
        <v>342</v>
      </c>
      <c r="B39" s="76" t="s">
        <v>188</v>
      </c>
      <c r="C39" s="76" t="s">
        <v>315</v>
      </c>
      <c r="D39" s="161">
        <v>2015</v>
      </c>
      <c r="E39" s="76" t="s">
        <v>1650</v>
      </c>
    </row>
    <row r="40" spans="1:5">
      <c r="A40" s="160" t="s">
        <v>359</v>
      </c>
      <c r="B40" s="111" t="s">
        <v>205</v>
      </c>
      <c r="C40" s="111" t="s">
        <v>309</v>
      </c>
      <c r="D40" s="166">
        <v>2020</v>
      </c>
      <c r="E40" s="76" t="s">
        <v>1650</v>
      </c>
    </row>
    <row r="41" spans="1:5" ht="16.5" thickBot="1">
      <c r="A41" s="162" t="s">
        <v>974</v>
      </c>
      <c r="B41" s="171" t="s">
        <v>168</v>
      </c>
      <c r="C41" s="171" t="s">
        <v>985</v>
      </c>
      <c r="D41" s="172">
        <v>2022</v>
      </c>
      <c r="E41" s="76" t="s">
        <v>1650</v>
      </c>
    </row>
    <row r="42" spans="1:5">
      <c r="A42" s="157" t="s">
        <v>338</v>
      </c>
      <c r="B42" s="168" t="s">
        <v>184</v>
      </c>
      <c r="C42" s="168" t="s">
        <v>451</v>
      </c>
      <c r="D42" s="169">
        <v>2019</v>
      </c>
      <c r="E42" s="76" t="s">
        <v>1650</v>
      </c>
    </row>
    <row r="43" spans="1:5">
      <c r="A43" s="160" t="s">
        <v>376</v>
      </c>
      <c r="B43" s="76" t="s">
        <v>221</v>
      </c>
      <c r="C43" s="72" t="s">
        <v>294</v>
      </c>
      <c r="D43" s="161">
        <v>2018</v>
      </c>
      <c r="E43" s="76" t="s">
        <v>1650</v>
      </c>
    </row>
    <row r="44" spans="1:5">
      <c r="A44" s="160" t="s">
        <v>323</v>
      </c>
      <c r="B44" s="111" t="s">
        <v>169</v>
      </c>
      <c r="C44" s="111" t="s">
        <v>274</v>
      </c>
      <c r="D44" s="166">
        <v>2022</v>
      </c>
      <c r="E44" s="76" t="s">
        <v>1650</v>
      </c>
    </row>
    <row r="45" spans="1:5">
      <c r="A45" s="160" t="s">
        <v>340</v>
      </c>
      <c r="B45" s="76" t="s">
        <v>186</v>
      </c>
      <c r="C45" s="76" t="s">
        <v>282</v>
      </c>
      <c r="D45" s="161">
        <v>1996</v>
      </c>
      <c r="E45" s="76" t="s">
        <v>1650</v>
      </c>
    </row>
    <row r="46" spans="1:5" ht="16.5" thickBot="1">
      <c r="A46" s="162" t="s">
        <v>324</v>
      </c>
      <c r="B46" s="171" t="s">
        <v>170</v>
      </c>
      <c r="C46" s="171" t="s">
        <v>276</v>
      </c>
      <c r="D46" s="172">
        <v>2016</v>
      </c>
      <c r="E46" s="76" t="s">
        <v>1650</v>
      </c>
    </row>
    <row r="47" spans="1:5">
      <c r="A47" s="160" t="s">
        <v>361</v>
      </c>
      <c r="B47" s="111" t="s">
        <v>207</v>
      </c>
      <c r="C47" s="111" t="s">
        <v>308</v>
      </c>
      <c r="D47" s="166">
        <v>2017</v>
      </c>
      <c r="E47" s="76" t="s">
        <v>1650</v>
      </c>
    </row>
    <row r="48" spans="1:5">
      <c r="A48" s="160" t="s">
        <v>325</v>
      </c>
      <c r="B48" s="76" t="s">
        <v>171</v>
      </c>
      <c r="C48" s="76" t="s">
        <v>277</v>
      </c>
      <c r="D48" s="161">
        <v>2011</v>
      </c>
      <c r="E48" s="76" t="s">
        <v>1650</v>
      </c>
    </row>
    <row r="49" spans="1:5">
      <c r="A49" s="177" t="s">
        <v>330</v>
      </c>
      <c r="B49" s="76" t="s">
        <v>176</v>
      </c>
      <c r="C49" s="76" t="s">
        <v>454</v>
      </c>
      <c r="D49" s="161">
        <v>2022</v>
      </c>
      <c r="E49" s="76" t="s">
        <v>1650</v>
      </c>
    </row>
    <row r="50" spans="1:5">
      <c r="A50" s="160" t="s">
        <v>345</v>
      </c>
      <c r="B50" s="76" t="s">
        <v>191</v>
      </c>
      <c r="C50" s="76" t="s">
        <v>317</v>
      </c>
      <c r="D50" s="161">
        <v>2016</v>
      </c>
      <c r="E50" s="76" t="s">
        <v>1650</v>
      </c>
    </row>
    <row r="51" spans="1:5" ht="16.5" thickBot="1">
      <c r="A51" s="170" t="s">
        <v>344</v>
      </c>
      <c r="B51" s="171" t="s">
        <v>190</v>
      </c>
      <c r="C51" s="171" t="s">
        <v>283</v>
      </c>
      <c r="D51" s="172">
        <v>2023</v>
      </c>
      <c r="E51" s="76" t="s">
        <v>1650</v>
      </c>
    </row>
    <row r="52" spans="1:5">
      <c r="A52" s="157" t="s">
        <v>332</v>
      </c>
      <c r="B52" s="158" t="s">
        <v>178</v>
      </c>
      <c r="C52" s="158" t="s">
        <v>313</v>
      </c>
      <c r="D52" s="159">
        <v>2015</v>
      </c>
      <c r="E52" s="76" t="s">
        <v>1650</v>
      </c>
    </row>
    <row r="53" spans="1:5">
      <c r="A53" s="160" t="s">
        <v>377</v>
      </c>
      <c r="B53" s="76" t="s">
        <v>222</v>
      </c>
      <c r="C53" s="72" t="s">
        <v>299</v>
      </c>
      <c r="D53" s="161">
        <v>2024</v>
      </c>
      <c r="E53" s="76" t="s">
        <v>1650</v>
      </c>
    </row>
    <row r="54" spans="1:5">
      <c r="A54" s="165" t="s">
        <v>327</v>
      </c>
      <c r="B54" s="111" t="s">
        <v>173</v>
      </c>
      <c r="C54" s="111" t="s">
        <v>296</v>
      </c>
      <c r="D54" s="166">
        <v>2019</v>
      </c>
      <c r="E54" s="76" t="s">
        <v>1650</v>
      </c>
    </row>
    <row r="55" spans="1:5">
      <c r="A55" s="160" t="s">
        <v>363</v>
      </c>
      <c r="B55" s="111" t="s">
        <v>209</v>
      </c>
      <c r="C55" s="111" t="s">
        <v>307</v>
      </c>
      <c r="D55" s="166">
        <v>2019</v>
      </c>
      <c r="E55" s="76" t="s">
        <v>1650</v>
      </c>
    </row>
    <row r="56" spans="1:5" ht="16.5" thickBot="1">
      <c r="A56" s="162" t="s">
        <v>371</v>
      </c>
      <c r="B56" s="171" t="s">
        <v>217</v>
      </c>
      <c r="C56" s="171" t="s">
        <v>303</v>
      </c>
      <c r="D56" s="172">
        <v>2022</v>
      </c>
      <c r="E56" s="76" t="s">
        <v>1650</v>
      </c>
    </row>
    <row r="57" spans="1:5">
      <c r="A57" s="175" t="s">
        <v>351</v>
      </c>
      <c r="B57" s="168" t="s">
        <v>197</v>
      </c>
      <c r="C57" s="168" t="s">
        <v>319</v>
      </c>
      <c r="D57" s="169">
        <v>2019</v>
      </c>
      <c r="E57" s="76" t="s">
        <v>1650</v>
      </c>
    </row>
    <row r="58" spans="1:5">
      <c r="A58" s="160" t="s">
        <v>366</v>
      </c>
      <c r="B58" s="111" t="s">
        <v>212</v>
      </c>
      <c r="C58" s="111" t="s">
        <v>291</v>
      </c>
      <c r="D58" s="166">
        <v>2022</v>
      </c>
      <c r="E58" s="76" t="s">
        <v>1650</v>
      </c>
    </row>
    <row r="59" spans="1:5">
      <c r="A59" s="160" t="s">
        <v>355</v>
      </c>
      <c r="B59" s="111" t="s">
        <v>201</v>
      </c>
      <c r="C59" s="111" t="s">
        <v>448</v>
      </c>
      <c r="D59" s="166">
        <v>2021</v>
      </c>
      <c r="E59" s="76" t="s">
        <v>1650</v>
      </c>
    </row>
    <row r="60" spans="1:5">
      <c r="A60" s="160" t="s">
        <v>378</v>
      </c>
      <c r="B60" s="76" t="s">
        <v>223</v>
      </c>
      <c r="C60" s="72" t="s">
        <v>298</v>
      </c>
      <c r="D60" s="161">
        <v>2024</v>
      </c>
      <c r="E60" s="76" t="s">
        <v>1650</v>
      </c>
    </row>
    <row r="61" spans="1:5" ht="16.5" thickBot="1">
      <c r="A61" s="170" t="s">
        <v>328</v>
      </c>
      <c r="B61" s="171" t="s">
        <v>174</v>
      </c>
      <c r="C61" s="171" t="s">
        <v>279</v>
      </c>
      <c r="D61" s="172">
        <v>2017</v>
      </c>
      <c r="E61" s="76" t="s">
        <v>1650</v>
      </c>
    </row>
    <row r="62" spans="1:5">
      <c r="A62" s="157" t="s">
        <v>379</v>
      </c>
      <c r="B62" s="158" t="s">
        <v>224</v>
      </c>
      <c r="C62" s="173" t="s">
        <v>297</v>
      </c>
      <c r="D62" s="159">
        <v>2024</v>
      </c>
      <c r="E62" s="76" t="s">
        <v>1650</v>
      </c>
    </row>
    <row r="63" spans="1:5" ht="16.5" thickBot="1">
      <c r="A63" s="170" t="s">
        <v>380</v>
      </c>
      <c r="B63" s="171" t="s">
        <v>225</v>
      </c>
      <c r="C63" s="178" t="s">
        <v>295</v>
      </c>
      <c r="D63" s="172">
        <v>2024</v>
      </c>
      <c r="E63" s="76" t="s">
        <v>1650</v>
      </c>
    </row>
  </sheetData>
  <sortState xmlns:xlrd2="http://schemas.microsoft.com/office/spreadsheetml/2017/richdata2" ref="A2:D63">
    <sortCondition ref="A1:A63"/>
  </sortState>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7228-33B7-47F2-A3F6-9BC1FA87A63A}">
  <dimension ref="A1:Z68"/>
  <sheetViews>
    <sheetView tabSelected="1" zoomScale="55" zoomScaleNormal="55" workbookViewId="0">
      <pane ySplit="1" topLeftCell="A2" activePane="bottomLeft" state="frozen"/>
      <selection pane="bottomLeft" activeCell="F16" sqref="A1:Z68"/>
    </sheetView>
  </sheetViews>
  <sheetFormatPr defaultRowHeight="15.75"/>
  <cols>
    <col min="1" max="1" width="28.375" customWidth="1"/>
    <col min="2" max="2" width="11.375" customWidth="1"/>
    <col min="3" max="3" width="12.125" customWidth="1"/>
  </cols>
  <sheetData>
    <row r="1" spans="1:26" ht="16.5" thickBot="1">
      <c r="A1" s="69" t="s">
        <v>77</v>
      </c>
      <c r="B1" s="69" t="s">
        <v>1653</v>
      </c>
      <c r="C1" s="69" t="s">
        <v>1654</v>
      </c>
      <c r="D1" s="69" t="s">
        <v>1655</v>
      </c>
      <c r="E1" s="69" t="s">
        <v>1656</v>
      </c>
      <c r="F1" s="69" t="s">
        <v>1657</v>
      </c>
      <c r="G1" s="69" t="s">
        <v>1658</v>
      </c>
      <c r="H1" s="69" t="s">
        <v>1659</v>
      </c>
      <c r="I1" s="69" t="s">
        <v>1660</v>
      </c>
      <c r="J1" s="69" t="s">
        <v>1661</v>
      </c>
      <c r="K1" s="69" t="s">
        <v>1662</v>
      </c>
      <c r="L1" s="69" t="s">
        <v>1663</v>
      </c>
      <c r="M1" s="69" t="s">
        <v>1664</v>
      </c>
      <c r="N1" s="69" t="s">
        <v>1665</v>
      </c>
      <c r="O1" s="69" t="s">
        <v>1666</v>
      </c>
      <c r="P1" s="69" t="s">
        <v>1667</v>
      </c>
      <c r="Q1" s="69" t="s">
        <v>1668</v>
      </c>
      <c r="R1" s="69" t="s">
        <v>1669</v>
      </c>
      <c r="S1" s="69" t="s">
        <v>1670</v>
      </c>
      <c r="T1" s="69" t="s">
        <v>1671</v>
      </c>
      <c r="U1" s="69" t="s">
        <v>1672</v>
      </c>
      <c r="V1" s="69" t="s">
        <v>1673</v>
      </c>
      <c r="W1" s="69" t="s">
        <v>1674</v>
      </c>
      <c r="X1" s="69" t="s">
        <v>1675</v>
      </c>
      <c r="Y1" s="69" t="s">
        <v>1676</v>
      </c>
      <c r="Z1" s="69" t="s">
        <v>1677</v>
      </c>
    </row>
    <row r="2" spans="1:26">
      <c r="A2" s="153" t="s">
        <v>353</v>
      </c>
      <c r="B2">
        <v>1</v>
      </c>
      <c r="C2">
        <v>1</v>
      </c>
      <c r="D2">
        <v>1</v>
      </c>
      <c r="E2">
        <v>1</v>
      </c>
      <c r="F2">
        <v>1</v>
      </c>
      <c r="G2">
        <v>1</v>
      </c>
      <c r="H2">
        <v>1</v>
      </c>
      <c r="I2">
        <v>1</v>
      </c>
      <c r="J2">
        <v>1</v>
      </c>
      <c r="K2" t="s">
        <v>1678</v>
      </c>
      <c r="L2">
        <v>1</v>
      </c>
      <c r="M2">
        <v>1</v>
      </c>
      <c r="N2">
        <v>1</v>
      </c>
      <c r="O2">
        <v>1</v>
      </c>
      <c r="P2">
        <v>1</v>
      </c>
      <c r="Q2">
        <v>1</v>
      </c>
      <c r="R2">
        <v>1</v>
      </c>
      <c r="S2">
        <v>0</v>
      </c>
      <c r="T2">
        <v>1</v>
      </c>
      <c r="U2">
        <v>1</v>
      </c>
      <c r="V2">
        <v>1</v>
      </c>
      <c r="W2">
        <v>0</v>
      </c>
      <c r="X2">
        <v>1</v>
      </c>
      <c r="Y2">
        <v>1</v>
      </c>
      <c r="Z2">
        <v>0</v>
      </c>
    </row>
    <row r="3" spans="1:26">
      <c r="A3" s="154" t="s">
        <v>995</v>
      </c>
      <c r="B3">
        <v>1</v>
      </c>
      <c r="C3">
        <v>1</v>
      </c>
      <c r="D3">
        <v>1</v>
      </c>
      <c r="E3">
        <v>1</v>
      </c>
      <c r="F3">
        <v>1</v>
      </c>
      <c r="G3">
        <v>1</v>
      </c>
      <c r="H3">
        <v>1</v>
      </c>
      <c r="I3">
        <v>1</v>
      </c>
      <c r="J3">
        <v>1</v>
      </c>
      <c r="K3">
        <v>1</v>
      </c>
      <c r="L3">
        <v>1</v>
      </c>
      <c r="M3">
        <v>1</v>
      </c>
      <c r="N3">
        <v>1</v>
      </c>
      <c r="O3">
        <v>1</v>
      </c>
      <c r="P3">
        <v>1</v>
      </c>
      <c r="Q3">
        <v>1</v>
      </c>
      <c r="R3">
        <v>0</v>
      </c>
      <c r="S3">
        <v>1</v>
      </c>
      <c r="T3">
        <v>1</v>
      </c>
      <c r="U3">
        <v>1</v>
      </c>
      <c r="V3">
        <v>1</v>
      </c>
      <c r="W3">
        <v>1</v>
      </c>
      <c r="X3">
        <v>1</v>
      </c>
      <c r="Y3">
        <v>1</v>
      </c>
      <c r="Z3">
        <v>1</v>
      </c>
    </row>
    <row r="4" spans="1:26" ht="16.5" thickBot="1">
      <c r="A4" s="155" t="s">
        <v>352</v>
      </c>
      <c r="B4">
        <v>1</v>
      </c>
      <c r="C4">
        <v>1</v>
      </c>
      <c r="D4">
        <v>1</v>
      </c>
      <c r="E4">
        <v>1</v>
      </c>
      <c r="F4">
        <v>1</v>
      </c>
      <c r="G4">
        <v>1</v>
      </c>
      <c r="H4">
        <v>1</v>
      </c>
      <c r="I4">
        <v>1</v>
      </c>
      <c r="J4">
        <v>0</v>
      </c>
      <c r="K4">
        <v>0</v>
      </c>
      <c r="L4">
        <v>1</v>
      </c>
      <c r="M4">
        <v>1</v>
      </c>
      <c r="N4" t="s">
        <v>1678</v>
      </c>
      <c r="O4">
        <v>1</v>
      </c>
      <c r="P4">
        <v>0</v>
      </c>
      <c r="Q4">
        <v>1</v>
      </c>
      <c r="R4">
        <v>0</v>
      </c>
      <c r="S4">
        <v>1</v>
      </c>
      <c r="T4">
        <v>1</v>
      </c>
      <c r="U4">
        <v>1</v>
      </c>
      <c r="V4">
        <v>0</v>
      </c>
      <c r="W4">
        <v>0</v>
      </c>
      <c r="X4">
        <v>1</v>
      </c>
      <c r="Y4">
        <v>1</v>
      </c>
      <c r="Z4">
        <v>0</v>
      </c>
    </row>
    <row r="5" spans="1:26">
      <c r="A5" s="72" t="s">
        <v>329</v>
      </c>
      <c r="B5" s="152" t="s">
        <v>1678</v>
      </c>
      <c r="C5" s="152" t="s">
        <v>1678</v>
      </c>
      <c r="D5" s="152" t="s">
        <v>1678</v>
      </c>
      <c r="E5" s="152" t="s">
        <v>1678</v>
      </c>
      <c r="F5" s="152" t="s">
        <v>1678</v>
      </c>
      <c r="G5" s="152" t="s">
        <v>1678</v>
      </c>
      <c r="H5" s="152" t="s">
        <v>1678</v>
      </c>
      <c r="I5" s="152" t="s">
        <v>1678</v>
      </c>
      <c r="J5" s="152" t="s">
        <v>1678</v>
      </c>
      <c r="K5" s="152" t="s">
        <v>1678</v>
      </c>
      <c r="L5" s="152" t="s">
        <v>1678</v>
      </c>
      <c r="M5" s="152" t="s">
        <v>1678</v>
      </c>
      <c r="N5" s="152" t="s">
        <v>1678</v>
      </c>
      <c r="O5" s="152" t="s">
        <v>1678</v>
      </c>
      <c r="P5" s="152" t="s">
        <v>1678</v>
      </c>
      <c r="Q5" s="152" t="s">
        <v>1678</v>
      </c>
      <c r="R5" s="152" t="s">
        <v>1678</v>
      </c>
      <c r="S5" s="152" t="s">
        <v>1678</v>
      </c>
      <c r="T5" s="152" t="s">
        <v>1678</v>
      </c>
      <c r="U5" s="152" t="s">
        <v>1678</v>
      </c>
      <c r="V5" s="152" t="s">
        <v>1678</v>
      </c>
      <c r="W5" s="152" t="s">
        <v>1678</v>
      </c>
      <c r="X5" s="152" t="s">
        <v>1678</v>
      </c>
      <c r="Y5" s="152" t="s">
        <v>1678</v>
      </c>
      <c r="Z5" s="152" t="s">
        <v>1678</v>
      </c>
    </row>
    <row r="6" spans="1:26" ht="16.5" thickBot="1">
      <c r="A6" s="72" t="s">
        <v>347</v>
      </c>
      <c r="B6" s="152" t="s">
        <v>1678</v>
      </c>
      <c r="C6" s="152" t="s">
        <v>1678</v>
      </c>
      <c r="D6" s="152" t="s">
        <v>1678</v>
      </c>
      <c r="E6" s="152" t="s">
        <v>1678</v>
      </c>
      <c r="F6" s="152" t="s">
        <v>1678</v>
      </c>
      <c r="G6" s="152" t="s">
        <v>1678</v>
      </c>
      <c r="H6" s="152" t="s">
        <v>1678</v>
      </c>
      <c r="I6" s="152" t="s">
        <v>1678</v>
      </c>
      <c r="J6" s="152" t="s">
        <v>1678</v>
      </c>
      <c r="K6" s="152" t="s">
        <v>1678</v>
      </c>
      <c r="L6" s="152" t="s">
        <v>1678</v>
      </c>
      <c r="M6" s="152" t="s">
        <v>1678</v>
      </c>
      <c r="N6" s="152" t="s">
        <v>1678</v>
      </c>
      <c r="O6" s="152" t="s">
        <v>1678</v>
      </c>
      <c r="P6" s="152" t="s">
        <v>1678</v>
      </c>
      <c r="Q6" s="152" t="s">
        <v>1678</v>
      </c>
      <c r="R6" s="152" t="s">
        <v>1678</v>
      </c>
      <c r="S6" s="152" t="s">
        <v>1678</v>
      </c>
      <c r="T6" s="152" t="s">
        <v>1678</v>
      </c>
      <c r="U6" s="152" t="s">
        <v>1678</v>
      </c>
      <c r="V6" s="152" t="s">
        <v>1678</v>
      </c>
      <c r="W6" s="152" t="s">
        <v>1678</v>
      </c>
      <c r="X6" s="152" t="s">
        <v>1678</v>
      </c>
      <c r="Y6" s="152" t="s">
        <v>1678</v>
      </c>
      <c r="Z6" s="152" t="s">
        <v>1678</v>
      </c>
    </row>
    <row r="7" spans="1:26">
      <c r="A7" s="156" t="s">
        <v>367</v>
      </c>
      <c r="B7">
        <v>1</v>
      </c>
      <c r="C7">
        <v>1</v>
      </c>
      <c r="D7">
        <v>1</v>
      </c>
      <c r="E7">
        <v>1</v>
      </c>
      <c r="F7">
        <v>1</v>
      </c>
      <c r="G7">
        <v>1</v>
      </c>
      <c r="H7">
        <v>1</v>
      </c>
      <c r="I7">
        <v>1</v>
      </c>
      <c r="J7">
        <v>1</v>
      </c>
      <c r="K7">
        <v>1</v>
      </c>
      <c r="L7">
        <v>1</v>
      </c>
      <c r="M7">
        <v>1</v>
      </c>
      <c r="N7">
        <v>1</v>
      </c>
      <c r="O7">
        <v>1</v>
      </c>
      <c r="P7">
        <v>1</v>
      </c>
      <c r="Q7">
        <v>1</v>
      </c>
      <c r="R7">
        <v>1</v>
      </c>
      <c r="S7">
        <v>1</v>
      </c>
      <c r="T7">
        <v>0</v>
      </c>
      <c r="U7">
        <v>1</v>
      </c>
      <c r="V7">
        <v>0</v>
      </c>
      <c r="W7">
        <v>1</v>
      </c>
      <c r="X7">
        <v>0</v>
      </c>
      <c r="Y7">
        <v>1</v>
      </c>
      <c r="Z7">
        <v>1</v>
      </c>
    </row>
    <row r="8" spans="1:26">
      <c r="A8" s="154" t="s">
        <v>365</v>
      </c>
      <c r="B8">
        <v>1</v>
      </c>
      <c r="C8">
        <v>1</v>
      </c>
      <c r="D8">
        <v>1</v>
      </c>
      <c r="E8">
        <v>1</v>
      </c>
      <c r="F8">
        <v>0</v>
      </c>
      <c r="G8">
        <v>1</v>
      </c>
      <c r="H8">
        <v>1</v>
      </c>
      <c r="I8">
        <v>1</v>
      </c>
      <c r="J8">
        <v>1</v>
      </c>
      <c r="K8">
        <v>1</v>
      </c>
      <c r="L8">
        <v>1</v>
      </c>
      <c r="M8">
        <v>1</v>
      </c>
      <c r="N8">
        <v>1</v>
      </c>
      <c r="O8">
        <v>0</v>
      </c>
      <c r="P8">
        <v>0</v>
      </c>
      <c r="Q8">
        <v>0</v>
      </c>
      <c r="R8">
        <v>0</v>
      </c>
      <c r="S8">
        <v>0</v>
      </c>
      <c r="T8">
        <v>0</v>
      </c>
      <c r="U8">
        <v>0</v>
      </c>
      <c r="V8">
        <v>0</v>
      </c>
      <c r="W8">
        <v>0</v>
      </c>
      <c r="X8">
        <v>0</v>
      </c>
      <c r="Y8">
        <v>1</v>
      </c>
      <c r="Z8">
        <v>0</v>
      </c>
    </row>
    <row r="9" spans="1:26">
      <c r="A9" s="154" t="s">
        <v>322</v>
      </c>
      <c r="B9">
        <v>1</v>
      </c>
      <c r="C9">
        <v>1</v>
      </c>
      <c r="D9">
        <v>1</v>
      </c>
      <c r="E9">
        <v>1</v>
      </c>
      <c r="F9">
        <v>1</v>
      </c>
      <c r="G9">
        <v>1</v>
      </c>
      <c r="H9">
        <v>1</v>
      </c>
      <c r="I9">
        <v>1</v>
      </c>
      <c r="J9">
        <v>0</v>
      </c>
      <c r="K9">
        <v>1</v>
      </c>
      <c r="L9">
        <v>1</v>
      </c>
      <c r="M9">
        <v>1</v>
      </c>
      <c r="N9">
        <v>1</v>
      </c>
      <c r="O9">
        <v>1</v>
      </c>
      <c r="P9">
        <v>0</v>
      </c>
      <c r="Q9">
        <v>1</v>
      </c>
      <c r="R9">
        <v>1</v>
      </c>
      <c r="S9">
        <v>1</v>
      </c>
      <c r="T9">
        <v>1</v>
      </c>
      <c r="U9">
        <v>0</v>
      </c>
      <c r="V9">
        <v>0</v>
      </c>
      <c r="W9">
        <v>0</v>
      </c>
      <c r="X9">
        <v>0</v>
      </c>
      <c r="Y9">
        <v>1</v>
      </c>
      <c r="Z9">
        <v>0</v>
      </c>
    </row>
    <row r="10" spans="1:26">
      <c r="A10" s="154" t="s">
        <v>334</v>
      </c>
      <c r="B10">
        <v>1</v>
      </c>
      <c r="C10">
        <v>1</v>
      </c>
      <c r="D10">
        <v>1</v>
      </c>
      <c r="E10">
        <v>1</v>
      </c>
      <c r="F10">
        <v>1</v>
      </c>
      <c r="G10">
        <v>1</v>
      </c>
      <c r="H10">
        <v>1</v>
      </c>
      <c r="I10">
        <v>1</v>
      </c>
      <c r="J10" t="s">
        <v>1678</v>
      </c>
      <c r="K10" t="s">
        <v>1678</v>
      </c>
      <c r="L10">
        <v>1</v>
      </c>
      <c r="M10">
        <v>1</v>
      </c>
      <c r="N10">
        <v>1</v>
      </c>
      <c r="O10">
        <v>1</v>
      </c>
      <c r="P10">
        <v>1</v>
      </c>
      <c r="Q10">
        <v>1</v>
      </c>
      <c r="R10">
        <v>0</v>
      </c>
      <c r="S10">
        <v>1</v>
      </c>
      <c r="T10">
        <v>0</v>
      </c>
      <c r="U10">
        <v>0</v>
      </c>
      <c r="V10">
        <v>0</v>
      </c>
      <c r="W10">
        <v>0</v>
      </c>
      <c r="X10">
        <v>1</v>
      </c>
      <c r="Y10">
        <v>1</v>
      </c>
      <c r="Z10">
        <v>0</v>
      </c>
    </row>
    <row r="11" spans="1:26">
      <c r="A11" s="154" t="s">
        <v>373</v>
      </c>
      <c r="B11">
        <v>1</v>
      </c>
      <c r="C11">
        <v>1</v>
      </c>
      <c r="D11">
        <v>1</v>
      </c>
      <c r="E11">
        <v>1</v>
      </c>
      <c r="F11">
        <v>1</v>
      </c>
      <c r="G11">
        <v>1</v>
      </c>
      <c r="H11">
        <v>1</v>
      </c>
      <c r="I11">
        <v>0</v>
      </c>
      <c r="J11">
        <v>0</v>
      </c>
      <c r="K11" t="s">
        <v>1678</v>
      </c>
      <c r="L11">
        <v>1</v>
      </c>
      <c r="M11">
        <v>1</v>
      </c>
      <c r="N11">
        <v>1</v>
      </c>
      <c r="O11">
        <v>1</v>
      </c>
      <c r="P11">
        <v>1</v>
      </c>
      <c r="Q11">
        <v>0</v>
      </c>
      <c r="R11">
        <v>0</v>
      </c>
      <c r="S11">
        <v>1</v>
      </c>
      <c r="T11">
        <v>0</v>
      </c>
      <c r="U11">
        <v>0</v>
      </c>
      <c r="V11">
        <v>0</v>
      </c>
      <c r="W11">
        <v>1</v>
      </c>
      <c r="X11">
        <v>1</v>
      </c>
      <c r="Y11">
        <v>1</v>
      </c>
      <c r="Z11">
        <v>0</v>
      </c>
    </row>
    <row r="12" spans="1:26">
      <c r="A12" s="154" t="s">
        <v>335</v>
      </c>
      <c r="B12">
        <v>0</v>
      </c>
      <c r="C12">
        <v>0</v>
      </c>
      <c r="D12">
        <v>1</v>
      </c>
      <c r="E12">
        <v>1</v>
      </c>
      <c r="F12">
        <v>0</v>
      </c>
      <c r="G12">
        <v>1</v>
      </c>
      <c r="H12">
        <v>1</v>
      </c>
      <c r="I12">
        <v>1</v>
      </c>
      <c r="J12">
        <v>0</v>
      </c>
      <c r="K12" t="s">
        <v>1678</v>
      </c>
      <c r="L12">
        <v>1</v>
      </c>
      <c r="M12">
        <v>0</v>
      </c>
      <c r="N12">
        <v>0</v>
      </c>
      <c r="O12">
        <v>0</v>
      </c>
      <c r="P12">
        <v>0</v>
      </c>
      <c r="Q12">
        <v>0</v>
      </c>
      <c r="R12">
        <v>0</v>
      </c>
      <c r="S12">
        <v>0</v>
      </c>
      <c r="T12">
        <v>0</v>
      </c>
      <c r="U12">
        <v>0</v>
      </c>
      <c r="V12">
        <v>0</v>
      </c>
      <c r="W12">
        <v>0</v>
      </c>
      <c r="X12">
        <v>0</v>
      </c>
      <c r="Y12">
        <v>0</v>
      </c>
      <c r="Z12">
        <v>0</v>
      </c>
    </row>
    <row r="13" spans="1:26">
      <c r="A13" s="154" t="s">
        <v>369</v>
      </c>
      <c r="B13">
        <v>1</v>
      </c>
      <c r="C13">
        <v>1</v>
      </c>
      <c r="D13">
        <v>1</v>
      </c>
      <c r="E13">
        <v>1</v>
      </c>
      <c r="F13">
        <v>1</v>
      </c>
      <c r="G13">
        <v>1</v>
      </c>
      <c r="H13">
        <v>1</v>
      </c>
      <c r="I13">
        <v>1</v>
      </c>
      <c r="J13">
        <v>1</v>
      </c>
      <c r="K13">
        <v>1</v>
      </c>
      <c r="L13">
        <v>1</v>
      </c>
      <c r="M13">
        <v>1</v>
      </c>
      <c r="N13">
        <v>1</v>
      </c>
      <c r="O13">
        <v>1</v>
      </c>
      <c r="P13">
        <v>1</v>
      </c>
      <c r="Q13">
        <v>0</v>
      </c>
      <c r="R13">
        <v>0</v>
      </c>
      <c r="S13">
        <v>1</v>
      </c>
      <c r="T13">
        <v>1</v>
      </c>
      <c r="U13">
        <v>1</v>
      </c>
      <c r="V13">
        <v>0</v>
      </c>
      <c r="W13">
        <v>0</v>
      </c>
      <c r="X13">
        <v>0</v>
      </c>
      <c r="Y13">
        <v>1</v>
      </c>
      <c r="Z13">
        <v>0</v>
      </c>
    </row>
    <row r="14" spans="1:26">
      <c r="A14" s="154" t="s">
        <v>346</v>
      </c>
      <c r="B14">
        <v>1</v>
      </c>
      <c r="C14">
        <v>1</v>
      </c>
      <c r="D14">
        <v>1</v>
      </c>
      <c r="E14">
        <v>1</v>
      </c>
      <c r="F14">
        <v>1</v>
      </c>
      <c r="G14">
        <v>1</v>
      </c>
      <c r="H14">
        <v>1</v>
      </c>
      <c r="I14">
        <v>1</v>
      </c>
      <c r="J14">
        <v>0</v>
      </c>
      <c r="K14" t="s">
        <v>1678</v>
      </c>
      <c r="L14">
        <v>1</v>
      </c>
      <c r="M14">
        <v>0</v>
      </c>
      <c r="N14">
        <v>0</v>
      </c>
      <c r="O14">
        <v>1</v>
      </c>
      <c r="P14">
        <v>1</v>
      </c>
      <c r="Q14">
        <v>1</v>
      </c>
      <c r="R14">
        <v>1</v>
      </c>
      <c r="S14">
        <v>1</v>
      </c>
      <c r="T14">
        <v>1</v>
      </c>
      <c r="U14">
        <v>1</v>
      </c>
      <c r="V14">
        <v>1</v>
      </c>
      <c r="W14">
        <v>0</v>
      </c>
      <c r="X14">
        <v>1</v>
      </c>
      <c r="Y14">
        <v>1</v>
      </c>
      <c r="Z14">
        <v>0</v>
      </c>
    </row>
    <row r="15" spans="1:26">
      <c r="A15" s="154" t="s">
        <v>370</v>
      </c>
      <c r="B15">
        <v>1</v>
      </c>
      <c r="C15">
        <v>0</v>
      </c>
      <c r="D15">
        <v>1</v>
      </c>
      <c r="E15">
        <v>1</v>
      </c>
      <c r="F15">
        <v>1</v>
      </c>
      <c r="G15">
        <v>1</v>
      </c>
      <c r="H15">
        <v>1</v>
      </c>
      <c r="I15">
        <v>1</v>
      </c>
      <c r="J15">
        <v>0</v>
      </c>
      <c r="K15" t="s">
        <v>1678</v>
      </c>
      <c r="L15">
        <v>1</v>
      </c>
      <c r="M15">
        <v>1</v>
      </c>
      <c r="N15">
        <v>1</v>
      </c>
      <c r="O15">
        <v>1</v>
      </c>
      <c r="P15">
        <v>0</v>
      </c>
      <c r="Q15">
        <v>0</v>
      </c>
      <c r="R15">
        <v>1</v>
      </c>
      <c r="S15">
        <v>1</v>
      </c>
      <c r="T15">
        <v>1</v>
      </c>
      <c r="U15">
        <v>0</v>
      </c>
      <c r="V15">
        <v>0</v>
      </c>
      <c r="W15">
        <v>0</v>
      </c>
      <c r="X15">
        <v>0</v>
      </c>
      <c r="Y15">
        <v>1</v>
      </c>
      <c r="Z15">
        <v>0</v>
      </c>
    </row>
    <row r="16" spans="1:26">
      <c r="A16" s="154" t="s">
        <v>348</v>
      </c>
      <c r="B16">
        <v>1</v>
      </c>
      <c r="C16">
        <v>0</v>
      </c>
      <c r="D16">
        <v>0</v>
      </c>
      <c r="E16">
        <v>1</v>
      </c>
      <c r="F16">
        <v>1</v>
      </c>
      <c r="G16">
        <v>1</v>
      </c>
      <c r="H16">
        <v>1</v>
      </c>
      <c r="I16">
        <v>0</v>
      </c>
      <c r="J16">
        <v>0</v>
      </c>
      <c r="K16" t="s">
        <v>1678</v>
      </c>
      <c r="L16">
        <v>1</v>
      </c>
      <c r="M16">
        <v>1</v>
      </c>
      <c r="N16">
        <v>0</v>
      </c>
      <c r="O16">
        <v>1</v>
      </c>
      <c r="P16">
        <v>0</v>
      </c>
      <c r="Q16">
        <v>0</v>
      </c>
      <c r="R16">
        <v>1</v>
      </c>
      <c r="S16">
        <v>1</v>
      </c>
      <c r="T16">
        <v>1</v>
      </c>
      <c r="U16">
        <v>0</v>
      </c>
      <c r="V16">
        <v>0</v>
      </c>
      <c r="W16">
        <v>0</v>
      </c>
      <c r="X16">
        <v>1</v>
      </c>
      <c r="Y16">
        <v>1</v>
      </c>
      <c r="Z16">
        <v>0</v>
      </c>
    </row>
    <row r="17" spans="1:26">
      <c r="A17" s="154" t="s">
        <v>357</v>
      </c>
      <c r="B17">
        <v>1</v>
      </c>
      <c r="C17">
        <v>0</v>
      </c>
      <c r="D17">
        <v>1</v>
      </c>
      <c r="E17">
        <v>1</v>
      </c>
      <c r="F17">
        <v>1</v>
      </c>
      <c r="G17">
        <v>1</v>
      </c>
      <c r="H17">
        <v>1</v>
      </c>
      <c r="I17">
        <v>1</v>
      </c>
      <c r="J17">
        <v>0</v>
      </c>
      <c r="K17" t="s">
        <v>1678</v>
      </c>
      <c r="L17">
        <v>1</v>
      </c>
      <c r="M17">
        <v>1</v>
      </c>
      <c r="N17">
        <v>1</v>
      </c>
      <c r="O17">
        <v>1</v>
      </c>
      <c r="P17">
        <v>0</v>
      </c>
      <c r="Q17">
        <v>0</v>
      </c>
      <c r="R17">
        <v>1</v>
      </c>
      <c r="S17">
        <v>1</v>
      </c>
      <c r="T17">
        <v>1</v>
      </c>
      <c r="U17">
        <v>0</v>
      </c>
      <c r="V17">
        <v>0</v>
      </c>
      <c r="W17">
        <v>0</v>
      </c>
      <c r="X17">
        <v>1</v>
      </c>
      <c r="Y17">
        <v>1</v>
      </c>
      <c r="Z17">
        <v>0</v>
      </c>
    </row>
    <row r="18" spans="1:26">
      <c r="A18" s="167" t="s">
        <v>374</v>
      </c>
      <c r="B18">
        <v>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row>
    <row r="19" spans="1:26">
      <c r="A19" s="167" t="s">
        <v>333</v>
      </c>
      <c r="B19">
        <v>1</v>
      </c>
      <c r="C19">
        <v>0</v>
      </c>
      <c r="D19">
        <v>1</v>
      </c>
      <c r="E19">
        <v>1</v>
      </c>
      <c r="F19">
        <v>1</v>
      </c>
      <c r="G19">
        <v>1</v>
      </c>
      <c r="H19">
        <v>1</v>
      </c>
      <c r="I19">
        <v>1</v>
      </c>
      <c r="J19">
        <v>1</v>
      </c>
      <c r="K19">
        <v>1</v>
      </c>
      <c r="L19">
        <v>1</v>
      </c>
      <c r="M19">
        <v>1</v>
      </c>
      <c r="N19">
        <v>0</v>
      </c>
      <c r="O19">
        <v>1</v>
      </c>
      <c r="P19">
        <v>0</v>
      </c>
      <c r="Q19">
        <v>0</v>
      </c>
      <c r="R19">
        <v>0</v>
      </c>
      <c r="S19">
        <v>0</v>
      </c>
      <c r="T19">
        <v>0</v>
      </c>
      <c r="U19">
        <v>1</v>
      </c>
      <c r="V19">
        <v>1</v>
      </c>
      <c r="W19">
        <v>1</v>
      </c>
      <c r="X19">
        <v>1</v>
      </c>
      <c r="Y19">
        <v>1</v>
      </c>
      <c r="Z19">
        <v>0</v>
      </c>
    </row>
    <row r="20" spans="1:26">
      <c r="A20" s="154" t="s">
        <v>368</v>
      </c>
      <c r="B20">
        <v>1</v>
      </c>
      <c r="C20">
        <v>1</v>
      </c>
      <c r="D20">
        <v>1</v>
      </c>
      <c r="E20">
        <v>1</v>
      </c>
      <c r="F20">
        <v>1</v>
      </c>
      <c r="G20">
        <v>1</v>
      </c>
      <c r="H20">
        <v>1</v>
      </c>
      <c r="I20">
        <v>1</v>
      </c>
      <c r="J20">
        <v>1</v>
      </c>
      <c r="K20">
        <v>1</v>
      </c>
      <c r="L20">
        <v>1</v>
      </c>
      <c r="M20">
        <v>1</v>
      </c>
      <c r="N20">
        <v>0</v>
      </c>
      <c r="O20">
        <v>1</v>
      </c>
      <c r="P20">
        <v>0</v>
      </c>
      <c r="Q20">
        <v>0</v>
      </c>
      <c r="R20">
        <v>1</v>
      </c>
      <c r="S20">
        <v>1</v>
      </c>
      <c r="T20">
        <v>1</v>
      </c>
      <c r="U20">
        <v>0</v>
      </c>
      <c r="V20">
        <v>0</v>
      </c>
      <c r="W20">
        <v>0</v>
      </c>
      <c r="X20">
        <v>0</v>
      </c>
      <c r="Y20">
        <v>1</v>
      </c>
      <c r="Z20">
        <v>0</v>
      </c>
    </row>
    <row r="21" spans="1:26">
      <c r="A21" s="154" t="s">
        <v>337</v>
      </c>
      <c r="B21">
        <v>1</v>
      </c>
      <c r="C21">
        <v>1</v>
      </c>
      <c r="D21">
        <v>1</v>
      </c>
      <c r="E21">
        <v>1</v>
      </c>
      <c r="F21">
        <v>1</v>
      </c>
      <c r="G21">
        <v>1</v>
      </c>
      <c r="H21">
        <v>1</v>
      </c>
      <c r="I21">
        <v>1</v>
      </c>
      <c r="J21">
        <v>1</v>
      </c>
      <c r="K21">
        <v>0</v>
      </c>
      <c r="L21" t="s">
        <v>1678</v>
      </c>
      <c r="M21">
        <v>1</v>
      </c>
      <c r="N21">
        <v>1</v>
      </c>
      <c r="O21">
        <v>1</v>
      </c>
      <c r="P21">
        <v>0</v>
      </c>
      <c r="Q21">
        <v>1</v>
      </c>
      <c r="R21">
        <v>1</v>
      </c>
      <c r="S21">
        <v>1</v>
      </c>
      <c r="T21">
        <v>0</v>
      </c>
      <c r="U21">
        <v>0</v>
      </c>
      <c r="V21">
        <v>0</v>
      </c>
      <c r="W21">
        <v>0</v>
      </c>
      <c r="X21">
        <v>1</v>
      </c>
      <c r="Y21">
        <v>1</v>
      </c>
      <c r="Z21">
        <v>0</v>
      </c>
    </row>
    <row r="22" spans="1:26">
      <c r="A22" s="154" t="s">
        <v>349</v>
      </c>
      <c r="B22">
        <v>1</v>
      </c>
      <c r="C22">
        <v>0</v>
      </c>
      <c r="D22">
        <v>1</v>
      </c>
      <c r="E22">
        <v>1</v>
      </c>
      <c r="F22">
        <v>1</v>
      </c>
      <c r="G22">
        <v>1</v>
      </c>
      <c r="H22">
        <v>1</v>
      </c>
      <c r="I22">
        <v>1</v>
      </c>
      <c r="J22">
        <v>0</v>
      </c>
      <c r="K22" t="s">
        <v>1678</v>
      </c>
      <c r="L22">
        <v>1</v>
      </c>
      <c r="M22">
        <v>1</v>
      </c>
      <c r="N22">
        <v>0</v>
      </c>
      <c r="O22">
        <v>1</v>
      </c>
      <c r="P22">
        <v>0</v>
      </c>
      <c r="Q22">
        <v>0</v>
      </c>
      <c r="R22">
        <v>1</v>
      </c>
      <c r="S22">
        <v>1</v>
      </c>
      <c r="T22">
        <v>0</v>
      </c>
      <c r="U22">
        <v>0</v>
      </c>
      <c r="V22">
        <v>0</v>
      </c>
      <c r="W22">
        <v>0</v>
      </c>
      <c r="X22">
        <v>0</v>
      </c>
      <c r="Y22">
        <v>1</v>
      </c>
      <c r="Z22">
        <v>0</v>
      </c>
    </row>
    <row r="23" spans="1:26">
      <c r="A23" s="154" t="s">
        <v>356</v>
      </c>
      <c r="B23">
        <v>1</v>
      </c>
      <c r="C23">
        <v>1</v>
      </c>
      <c r="D23">
        <v>1</v>
      </c>
      <c r="E23">
        <v>1</v>
      </c>
      <c r="F23">
        <v>1</v>
      </c>
      <c r="G23">
        <v>1</v>
      </c>
      <c r="H23">
        <v>1</v>
      </c>
      <c r="I23">
        <v>1</v>
      </c>
      <c r="J23">
        <v>0</v>
      </c>
      <c r="K23" t="s">
        <v>1678</v>
      </c>
      <c r="L23">
        <v>1</v>
      </c>
      <c r="M23">
        <v>1</v>
      </c>
      <c r="N23">
        <v>0</v>
      </c>
      <c r="O23">
        <v>1</v>
      </c>
      <c r="P23">
        <v>1</v>
      </c>
      <c r="Q23">
        <v>1</v>
      </c>
      <c r="R23">
        <v>1</v>
      </c>
      <c r="S23">
        <v>1</v>
      </c>
      <c r="T23">
        <v>1</v>
      </c>
      <c r="U23">
        <v>1</v>
      </c>
      <c r="V23">
        <v>0</v>
      </c>
      <c r="W23">
        <v>0</v>
      </c>
      <c r="X23">
        <v>1</v>
      </c>
      <c r="Y23">
        <v>1</v>
      </c>
      <c r="Z23">
        <v>1</v>
      </c>
    </row>
    <row r="24" spans="1:26">
      <c r="A24" s="154" t="s">
        <v>336</v>
      </c>
      <c r="B24">
        <v>1</v>
      </c>
      <c r="C24">
        <v>1</v>
      </c>
      <c r="D24">
        <v>1</v>
      </c>
      <c r="E24">
        <v>1</v>
      </c>
      <c r="F24">
        <v>1</v>
      </c>
      <c r="G24">
        <v>1</v>
      </c>
      <c r="H24">
        <v>1</v>
      </c>
      <c r="I24">
        <v>1</v>
      </c>
      <c r="J24">
        <v>0</v>
      </c>
      <c r="K24">
        <v>1</v>
      </c>
      <c r="L24">
        <v>1</v>
      </c>
      <c r="M24">
        <v>1</v>
      </c>
      <c r="N24">
        <v>1</v>
      </c>
      <c r="O24">
        <v>1</v>
      </c>
      <c r="P24">
        <v>0</v>
      </c>
      <c r="Q24">
        <v>1</v>
      </c>
      <c r="R24">
        <v>1</v>
      </c>
      <c r="S24">
        <v>1</v>
      </c>
      <c r="T24">
        <v>1</v>
      </c>
      <c r="U24">
        <v>1</v>
      </c>
      <c r="V24">
        <v>0</v>
      </c>
      <c r="W24">
        <v>0</v>
      </c>
      <c r="X24">
        <v>0</v>
      </c>
      <c r="Y24">
        <v>1</v>
      </c>
      <c r="Z24">
        <v>0</v>
      </c>
    </row>
    <row r="25" spans="1:26">
      <c r="A25" s="154" t="s">
        <v>372</v>
      </c>
      <c r="B25">
        <v>1</v>
      </c>
      <c r="C25">
        <v>1</v>
      </c>
      <c r="D25">
        <v>1</v>
      </c>
      <c r="E25">
        <v>1</v>
      </c>
      <c r="F25">
        <v>1</v>
      </c>
      <c r="G25">
        <v>1</v>
      </c>
      <c r="H25">
        <v>1</v>
      </c>
      <c r="I25">
        <v>1</v>
      </c>
      <c r="J25">
        <v>1</v>
      </c>
      <c r="K25">
        <v>1</v>
      </c>
      <c r="L25">
        <v>1</v>
      </c>
      <c r="M25">
        <v>1</v>
      </c>
      <c r="N25">
        <v>1</v>
      </c>
      <c r="O25">
        <v>1</v>
      </c>
      <c r="P25">
        <v>1</v>
      </c>
      <c r="Q25">
        <v>1</v>
      </c>
      <c r="R25">
        <v>1</v>
      </c>
      <c r="S25">
        <v>1</v>
      </c>
      <c r="T25">
        <v>0</v>
      </c>
      <c r="U25">
        <v>1</v>
      </c>
      <c r="V25">
        <v>1</v>
      </c>
      <c r="W25">
        <v>1</v>
      </c>
      <c r="X25">
        <v>1</v>
      </c>
      <c r="Y25">
        <v>1</v>
      </c>
      <c r="Z25">
        <v>0</v>
      </c>
    </row>
    <row r="26" spans="1:26">
      <c r="A26" s="167" t="s">
        <v>350</v>
      </c>
      <c r="B26">
        <v>1</v>
      </c>
      <c r="C26">
        <v>1</v>
      </c>
      <c r="D26">
        <v>1</v>
      </c>
      <c r="E26">
        <v>1</v>
      </c>
      <c r="F26">
        <v>1</v>
      </c>
      <c r="G26">
        <v>1</v>
      </c>
      <c r="H26">
        <v>1</v>
      </c>
      <c r="I26">
        <v>1</v>
      </c>
      <c r="J26">
        <v>1</v>
      </c>
      <c r="K26">
        <v>1</v>
      </c>
      <c r="L26">
        <v>1</v>
      </c>
      <c r="M26">
        <v>1</v>
      </c>
      <c r="N26">
        <v>1</v>
      </c>
      <c r="O26">
        <v>1</v>
      </c>
      <c r="P26">
        <v>1</v>
      </c>
      <c r="Q26">
        <v>1</v>
      </c>
      <c r="R26">
        <v>1</v>
      </c>
      <c r="S26">
        <v>1</v>
      </c>
      <c r="T26">
        <v>1</v>
      </c>
      <c r="U26">
        <v>0</v>
      </c>
      <c r="V26">
        <v>0</v>
      </c>
      <c r="W26">
        <v>0</v>
      </c>
      <c r="X26">
        <v>1</v>
      </c>
      <c r="Y26">
        <v>1</v>
      </c>
      <c r="Z26">
        <v>0</v>
      </c>
    </row>
    <row r="27" spans="1:26">
      <c r="A27" s="154" t="s">
        <v>375</v>
      </c>
      <c r="B27">
        <v>1</v>
      </c>
      <c r="C27">
        <v>1</v>
      </c>
      <c r="D27">
        <v>1</v>
      </c>
      <c r="E27">
        <v>1</v>
      </c>
      <c r="F27">
        <v>0</v>
      </c>
      <c r="G27">
        <v>1</v>
      </c>
      <c r="H27">
        <v>1</v>
      </c>
      <c r="I27">
        <v>1</v>
      </c>
      <c r="J27">
        <v>0</v>
      </c>
      <c r="K27" t="s">
        <v>1678</v>
      </c>
      <c r="L27">
        <v>1</v>
      </c>
      <c r="M27">
        <v>0</v>
      </c>
      <c r="N27">
        <v>0</v>
      </c>
      <c r="O27">
        <v>1</v>
      </c>
      <c r="P27">
        <v>0</v>
      </c>
      <c r="Q27">
        <v>0</v>
      </c>
      <c r="R27">
        <v>0</v>
      </c>
      <c r="S27">
        <v>0</v>
      </c>
      <c r="T27">
        <v>0</v>
      </c>
      <c r="U27">
        <v>0</v>
      </c>
      <c r="V27">
        <v>0</v>
      </c>
      <c r="W27">
        <v>0</v>
      </c>
      <c r="X27">
        <v>0</v>
      </c>
      <c r="Y27">
        <v>0</v>
      </c>
      <c r="Z27">
        <v>0</v>
      </c>
    </row>
    <row r="28" spans="1:26">
      <c r="A28" s="154" t="s">
        <v>326</v>
      </c>
      <c r="B28">
        <v>1</v>
      </c>
      <c r="C28">
        <v>1</v>
      </c>
      <c r="D28">
        <v>1</v>
      </c>
      <c r="E28">
        <v>1</v>
      </c>
      <c r="F28">
        <v>1</v>
      </c>
      <c r="G28">
        <v>1</v>
      </c>
      <c r="H28">
        <v>1</v>
      </c>
      <c r="I28">
        <v>1</v>
      </c>
      <c r="J28">
        <v>1</v>
      </c>
      <c r="K28">
        <v>1</v>
      </c>
      <c r="L28">
        <v>1</v>
      </c>
      <c r="M28">
        <v>1</v>
      </c>
      <c r="N28">
        <v>1</v>
      </c>
      <c r="O28">
        <v>1</v>
      </c>
      <c r="P28">
        <v>1</v>
      </c>
      <c r="Q28">
        <v>1</v>
      </c>
      <c r="R28">
        <v>1</v>
      </c>
      <c r="S28">
        <v>1</v>
      </c>
      <c r="T28">
        <v>0</v>
      </c>
      <c r="U28">
        <v>0</v>
      </c>
      <c r="V28">
        <v>1</v>
      </c>
      <c r="W28">
        <v>1</v>
      </c>
      <c r="X28">
        <v>1</v>
      </c>
      <c r="Y28">
        <v>1</v>
      </c>
      <c r="Z28">
        <v>1</v>
      </c>
    </row>
    <row r="29" spans="1:26">
      <c r="A29" s="154" t="s">
        <v>354</v>
      </c>
      <c r="B29">
        <v>1</v>
      </c>
      <c r="C29">
        <v>1</v>
      </c>
      <c r="D29">
        <v>1</v>
      </c>
      <c r="E29">
        <v>1</v>
      </c>
      <c r="F29">
        <v>1</v>
      </c>
      <c r="G29">
        <v>1</v>
      </c>
      <c r="H29">
        <v>1</v>
      </c>
      <c r="I29">
        <v>1</v>
      </c>
      <c r="J29">
        <v>1</v>
      </c>
      <c r="K29">
        <v>1</v>
      </c>
      <c r="L29">
        <v>1</v>
      </c>
      <c r="M29">
        <v>1</v>
      </c>
      <c r="N29">
        <v>1</v>
      </c>
      <c r="O29">
        <v>1</v>
      </c>
      <c r="P29">
        <v>1</v>
      </c>
      <c r="Q29">
        <v>1</v>
      </c>
      <c r="R29">
        <v>1</v>
      </c>
      <c r="S29">
        <v>1</v>
      </c>
      <c r="T29">
        <v>1</v>
      </c>
      <c r="U29">
        <v>1</v>
      </c>
      <c r="V29">
        <v>0</v>
      </c>
      <c r="W29">
        <v>0</v>
      </c>
      <c r="X29">
        <v>1</v>
      </c>
      <c r="Y29">
        <v>1</v>
      </c>
      <c r="Z29">
        <v>0</v>
      </c>
    </row>
    <row r="30" spans="1:26">
      <c r="A30" s="154" t="s">
        <v>341</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0</v>
      </c>
      <c r="X30">
        <v>1</v>
      </c>
      <c r="Y30">
        <v>1</v>
      </c>
      <c r="Z30">
        <v>1</v>
      </c>
    </row>
    <row r="31" spans="1:26">
      <c r="A31" s="154" t="s">
        <v>364</v>
      </c>
      <c r="B31">
        <v>1</v>
      </c>
      <c r="C31">
        <v>1</v>
      </c>
      <c r="D31">
        <v>1</v>
      </c>
      <c r="E31">
        <v>1</v>
      </c>
      <c r="F31">
        <v>1</v>
      </c>
      <c r="G31">
        <v>1</v>
      </c>
      <c r="H31">
        <v>1</v>
      </c>
      <c r="I31">
        <v>0</v>
      </c>
      <c r="J31">
        <v>0</v>
      </c>
      <c r="K31" t="s">
        <v>1678</v>
      </c>
      <c r="L31">
        <v>1</v>
      </c>
      <c r="M31">
        <v>1</v>
      </c>
      <c r="N31">
        <v>0</v>
      </c>
      <c r="O31">
        <v>0</v>
      </c>
      <c r="P31">
        <v>0</v>
      </c>
      <c r="Q31">
        <v>0</v>
      </c>
      <c r="R31">
        <v>0</v>
      </c>
      <c r="S31">
        <v>1</v>
      </c>
      <c r="T31">
        <v>0</v>
      </c>
      <c r="U31">
        <v>0</v>
      </c>
      <c r="V31">
        <v>1</v>
      </c>
      <c r="W31">
        <v>1</v>
      </c>
      <c r="X31">
        <v>1</v>
      </c>
      <c r="Y31">
        <v>1</v>
      </c>
      <c r="Z31">
        <v>0</v>
      </c>
    </row>
    <row r="32" spans="1:26">
      <c r="A32" s="154" t="s">
        <v>331</v>
      </c>
      <c r="B32">
        <v>1</v>
      </c>
      <c r="C32">
        <v>1</v>
      </c>
      <c r="D32">
        <v>1</v>
      </c>
      <c r="E32">
        <v>1</v>
      </c>
      <c r="F32">
        <v>1</v>
      </c>
      <c r="G32">
        <v>1</v>
      </c>
      <c r="H32">
        <v>1</v>
      </c>
      <c r="I32">
        <v>1</v>
      </c>
      <c r="J32">
        <v>1</v>
      </c>
      <c r="K32">
        <v>1</v>
      </c>
      <c r="L32">
        <v>1</v>
      </c>
      <c r="M32">
        <v>1</v>
      </c>
      <c r="N32">
        <v>1</v>
      </c>
      <c r="O32">
        <v>1</v>
      </c>
      <c r="P32">
        <v>1</v>
      </c>
      <c r="Q32">
        <v>1</v>
      </c>
      <c r="R32">
        <v>1</v>
      </c>
      <c r="S32">
        <v>1</v>
      </c>
      <c r="T32">
        <v>1</v>
      </c>
      <c r="U32">
        <v>0</v>
      </c>
      <c r="V32">
        <v>0</v>
      </c>
      <c r="W32">
        <v>0</v>
      </c>
      <c r="X32">
        <v>1</v>
      </c>
      <c r="Y32">
        <v>1</v>
      </c>
      <c r="Z32">
        <v>0</v>
      </c>
    </row>
    <row r="33" spans="1:26">
      <c r="A33" s="154" t="s">
        <v>339</v>
      </c>
      <c r="B33">
        <v>1</v>
      </c>
      <c r="C33">
        <v>1</v>
      </c>
      <c r="D33">
        <v>1</v>
      </c>
      <c r="E33">
        <v>1</v>
      </c>
      <c r="F33">
        <v>1</v>
      </c>
      <c r="G33">
        <v>1</v>
      </c>
      <c r="H33">
        <v>1</v>
      </c>
      <c r="I33">
        <v>1</v>
      </c>
      <c r="J33">
        <v>0</v>
      </c>
      <c r="K33">
        <v>1</v>
      </c>
      <c r="L33">
        <v>1</v>
      </c>
      <c r="M33">
        <v>1</v>
      </c>
      <c r="N33">
        <v>1</v>
      </c>
      <c r="O33">
        <v>1</v>
      </c>
      <c r="P33">
        <v>1</v>
      </c>
      <c r="Q33">
        <v>1</v>
      </c>
      <c r="R33">
        <v>1</v>
      </c>
      <c r="S33">
        <v>1</v>
      </c>
      <c r="T33">
        <v>1</v>
      </c>
      <c r="U33">
        <v>1</v>
      </c>
      <c r="V33">
        <v>0</v>
      </c>
      <c r="W33">
        <v>0</v>
      </c>
      <c r="X33">
        <v>1</v>
      </c>
      <c r="Y33">
        <v>1</v>
      </c>
      <c r="Z33">
        <v>0</v>
      </c>
    </row>
    <row r="34" spans="1:26">
      <c r="A34" s="154" t="s">
        <v>358</v>
      </c>
      <c r="B34">
        <v>1</v>
      </c>
      <c r="C34">
        <v>1</v>
      </c>
      <c r="D34">
        <v>1</v>
      </c>
      <c r="E34">
        <v>1</v>
      </c>
      <c r="F34">
        <v>1</v>
      </c>
      <c r="G34">
        <v>1</v>
      </c>
      <c r="H34">
        <v>1</v>
      </c>
      <c r="I34">
        <v>1</v>
      </c>
      <c r="J34">
        <v>0</v>
      </c>
      <c r="K34">
        <v>1</v>
      </c>
      <c r="L34">
        <v>1</v>
      </c>
      <c r="M34">
        <v>1</v>
      </c>
      <c r="N34">
        <v>1</v>
      </c>
      <c r="O34">
        <v>1</v>
      </c>
      <c r="P34">
        <v>1</v>
      </c>
      <c r="Q34">
        <v>0</v>
      </c>
      <c r="R34">
        <v>1</v>
      </c>
      <c r="S34">
        <v>1</v>
      </c>
      <c r="T34">
        <v>1</v>
      </c>
      <c r="U34">
        <v>0</v>
      </c>
      <c r="V34">
        <v>1</v>
      </c>
      <c r="W34">
        <v>1</v>
      </c>
      <c r="X34">
        <v>1</v>
      </c>
      <c r="Y34">
        <v>1</v>
      </c>
      <c r="Z34">
        <v>0</v>
      </c>
    </row>
    <row r="35" spans="1:26">
      <c r="A35" s="154" t="s">
        <v>1359</v>
      </c>
      <c r="B35">
        <v>1</v>
      </c>
      <c r="C35">
        <v>1</v>
      </c>
      <c r="D35">
        <v>1</v>
      </c>
      <c r="E35">
        <v>1</v>
      </c>
      <c r="F35">
        <v>1</v>
      </c>
      <c r="G35">
        <v>1</v>
      </c>
      <c r="H35">
        <v>1</v>
      </c>
      <c r="I35">
        <v>1</v>
      </c>
      <c r="J35">
        <v>1</v>
      </c>
      <c r="K35">
        <v>1</v>
      </c>
      <c r="L35">
        <v>1</v>
      </c>
      <c r="M35">
        <v>1</v>
      </c>
      <c r="N35">
        <v>1</v>
      </c>
      <c r="O35">
        <v>0</v>
      </c>
      <c r="P35">
        <v>1</v>
      </c>
      <c r="Q35">
        <v>0</v>
      </c>
      <c r="R35">
        <v>0</v>
      </c>
      <c r="S35">
        <v>1</v>
      </c>
      <c r="T35">
        <v>1</v>
      </c>
      <c r="U35">
        <v>1</v>
      </c>
      <c r="V35">
        <v>0</v>
      </c>
      <c r="W35">
        <v>0</v>
      </c>
      <c r="X35">
        <v>1</v>
      </c>
      <c r="Y35">
        <v>0</v>
      </c>
      <c r="Z35">
        <v>0</v>
      </c>
    </row>
    <row r="36" spans="1:26">
      <c r="A36" s="154" t="s">
        <v>362</v>
      </c>
      <c r="B36">
        <v>1</v>
      </c>
      <c r="C36">
        <v>1</v>
      </c>
      <c r="D36">
        <v>1</v>
      </c>
      <c r="E36">
        <v>1</v>
      </c>
      <c r="F36">
        <v>1</v>
      </c>
      <c r="G36">
        <v>1</v>
      </c>
      <c r="H36">
        <v>1</v>
      </c>
      <c r="I36">
        <v>1</v>
      </c>
      <c r="J36">
        <v>1</v>
      </c>
      <c r="K36">
        <v>1</v>
      </c>
      <c r="L36">
        <v>1</v>
      </c>
      <c r="M36">
        <v>1</v>
      </c>
      <c r="N36">
        <v>1</v>
      </c>
      <c r="O36">
        <v>0</v>
      </c>
      <c r="P36">
        <v>1</v>
      </c>
      <c r="Q36">
        <v>0</v>
      </c>
      <c r="R36">
        <v>0</v>
      </c>
      <c r="S36">
        <v>1</v>
      </c>
      <c r="T36">
        <v>1</v>
      </c>
      <c r="U36">
        <v>1</v>
      </c>
      <c r="V36">
        <v>0</v>
      </c>
      <c r="W36">
        <v>0</v>
      </c>
      <c r="X36">
        <v>1</v>
      </c>
      <c r="Y36">
        <v>0</v>
      </c>
      <c r="Z36" cm="1">
        <f t="array" aca="1" ref="Z36" ca="1">Z17:Z36</f>
        <v>0</v>
      </c>
    </row>
    <row r="37" spans="1:26">
      <c r="A37" s="167" t="s">
        <v>343</v>
      </c>
      <c r="B37">
        <v>1</v>
      </c>
      <c r="C37">
        <v>1</v>
      </c>
      <c r="D37">
        <v>1</v>
      </c>
      <c r="E37">
        <v>1</v>
      </c>
      <c r="F37">
        <v>1</v>
      </c>
      <c r="G37">
        <v>1</v>
      </c>
      <c r="H37">
        <v>1</v>
      </c>
      <c r="I37">
        <v>1</v>
      </c>
      <c r="J37">
        <v>0</v>
      </c>
      <c r="K37">
        <v>1</v>
      </c>
      <c r="L37">
        <v>1</v>
      </c>
      <c r="M37">
        <v>1</v>
      </c>
      <c r="N37">
        <v>1</v>
      </c>
      <c r="O37">
        <v>1</v>
      </c>
      <c r="P37">
        <v>1</v>
      </c>
      <c r="Q37">
        <v>0</v>
      </c>
      <c r="R37">
        <v>1</v>
      </c>
      <c r="S37">
        <v>1</v>
      </c>
      <c r="T37">
        <v>0</v>
      </c>
      <c r="U37">
        <v>0</v>
      </c>
      <c r="V37">
        <v>1</v>
      </c>
      <c r="W37">
        <v>1</v>
      </c>
      <c r="X37">
        <v>1</v>
      </c>
      <c r="Y37">
        <v>1</v>
      </c>
      <c r="Z37">
        <v>0</v>
      </c>
    </row>
    <row r="38" spans="1:26">
      <c r="A38" s="154" t="s">
        <v>360</v>
      </c>
      <c r="B38">
        <v>1</v>
      </c>
      <c r="C38">
        <v>1</v>
      </c>
      <c r="D38">
        <v>1</v>
      </c>
      <c r="E38">
        <v>1</v>
      </c>
      <c r="F38">
        <v>1</v>
      </c>
      <c r="G38">
        <v>1</v>
      </c>
      <c r="H38">
        <v>1</v>
      </c>
      <c r="I38">
        <v>0</v>
      </c>
      <c r="J38" t="s">
        <v>1678</v>
      </c>
      <c r="K38" t="s">
        <v>1678</v>
      </c>
      <c r="L38">
        <v>1</v>
      </c>
      <c r="M38">
        <v>1</v>
      </c>
      <c r="N38">
        <v>1</v>
      </c>
      <c r="O38">
        <v>1</v>
      </c>
      <c r="P38">
        <v>1</v>
      </c>
      <c r="Q38">
        <v>0</v>
      </c>
      <c r="R38">
        <v>0</v>
      </c>
      <c r="S38">
        <v>1</v>
      </c>
      <c r="T38">
        <v>1</v>
      </c>
      <c r="U38">
        <v>0</v>
      </c>
      <c r="V38">
        <v>1</v>
      </c>
      <c r="W38">
        <v>1</v>
      </c>
      <c r="X38">
        <v>1</v>
      </c>
      <c r="Y38">
        <v>1</v>
      </c>
      <c r="Z38">
        <v>0</v>
      </c>
    </row>
    <row r="39" spans="1:26">
      <c r="A39" s="154" t="s">
        <v>342</v>
      </c>
      <c r="B39">
        <v>1</v>
      </c>
      <c r="C39">
        <v>1</v>
      </c>
      <c r="D39">
        <v>1</v>
      </c>
      <c r="E39">
        <v>1</v>
      </c>
      <c r="F39">
        <v>1</v>
      </c>
      <c r="G39">
        <v>1</v>
      </c>
      <c r="H39">
        <v>1</v>
      </c>
      <c r="I39">
        <v>1</v>
      </c>
      <c r="J39">
        <v>0</v>
      </c>
      <c r="K39">
        <v>1</v>
      </c>
      <c r="L39">
        <v>1</v>
      </c>
      <c r="M39">
        <v>1</v>
      </c>
      <c r="N39">
        <v>1</v>
      </c>
      <c r="O39">
        <v>1</v>
      </c>
      <c r="P39">
        <v>1</v>
      </c>
      <c r="Q39">
        <v>1</v>
      </c>
      <c r="R39">
        <v>1</v>
      </c>
      <c r="S39">
        <v>1</v>
      </c>
      <c r="T39">
        <v>1</v>
      </c>
      <c r="U39">
        <v>1</v>
      </c>
      <c r="V39">
        <v>0</v>
      </c>
      <c r="W39">
        <v>0</v>
      </c>
      <c r="X39">
        <v>0</v>
      </c>
      <c r="Y39">
        <v>1</v>
      </c>
      <c r="Z39">
        <v>0</v>
      </c>
    </row>
    <row r="40" spans="1:26">
      <c r="A40" s="154" t="s">
        <v>359</v>
      </c>
      <c r="B40">
        <v>1</v>
      </c>
      <c r="C40">
        <v>1</v>
      </c>
      <c r="D40">
        <v>1</v>
      </c>
      <c r="E40">
        <v>1</v>
      </c>
      <c r="F40">
        <v>1</v>
      </c>
      <c r="G40">
        <v>1</v>
      </c>
      <c r="H40">
        <v>1</v>
      </c>
      <c r="I40">
        <v>1</v>
      </c>
      <c r="J40">
        <v>1</v>
      </c>
      <c r="K40">
        <v>1</v>
      </c>
      <c r="L40">
        <v>1</v>
      </c>
      <c r="M40">
        <v>1</v>
      </c>
      <c r="N40">
        <v>1</v>
      </c>
      <c r="O40">
        <v>1</v>
      </c>
      <c r="P40">
        <v>1</v>
      </c>
      <c r="Q40">
        <v>0</v>
      </c>
      <c r="R40">
        <v>1</v>
      </c>
      <c r="S40">
        <v>1</v>
      </c>
      <c r="T40">
        <v>1</v>
      </c>
      <c r="U40">
        <v>1</v>
      </c>
      <c r="V40">
        <v>0</v>
      </c>
      <c r="W40">
        <v>0</v>
      </c>
      <c r="X40">
        <v>1</v>
      </c>
      <c r="Y40">
        <v>0</v>
      </c>
      <c r="Z40">
        <v>1</v>
      </c>
    </row>
    <row r="41" spans="1:26">
      <c r="A41" s="154" t="s">
        <v>974</v>
      </c>
      <c r="B41">
        <v>1</v>
      </c>
      <c r="C41">
        <v>1</v>
      </c>
      <c r="D41">
        <v>1</v>
      </c>
      <c r="E41">
        <v>1</v>
      </c>
      <c r="F41">
        <v>1</v>
      </c>
      <c r="G41">
        <v>1</v>
      </c>
      <c r="H41">
        <v>1</v>
      </c>
      <c r="I41">
        <v>0</v>
      </c>
      <c r="J41" t="s">
        <v>1678</v>
      </c>
      <c r="K41" t="s">
        <v>1678</v>
      </c>
      <c r="L41">
        <v>1</v>
      </c>
      <c r="M41">
        <v>1</v>
      </c>
      <c r="N41">
        <v>1</v>
      </c>
      <c r="O41">
        <v>1</v>
      </c>
      <c r="P41">
        <v>1</v>
      </c>
      <c r="Q41">
        <v>1</v>
      </c>
      <c r="R41">
        <v>1</v>
      </c>
      <c r="S41">
        <v>1</v>
      </c>
      <c r="T41">
        <v>1</v>
      </c>
      <c r="U41">
        <v>1</v>
      </c>
      <c r="V41">
        <v>1</v>
      </c>
      <c r="W41">
        <v>1</v>
      </c>
      <c r="X41">
        <v>1</v>
      </c>
      <c r="Y41">
        <v>1</v>
      </c>
      <c r="Z41">
        <v>1</v>
      </c>
    </row>
    <row r="42" spans="1:26">
      <c r="A42" s="154" t="s">
        <v>338</v>
      </c>
      <c r="B42">
        <v>1</v>
      </c>
      <c r="C42">
        <v>1</v>
      </c>
      <c r="D42">
        <v>1</v>
      </c>
      <c r="E42">
        <v>1</v>
      </c>
      <c r="F42">
        <v>1</v>
      </c>
      <c r="G42">
        <v>1</v>
      </c>
      <c r="H42">
        <v>1</v>
      </c>
      <c r="I42">
        <v>1</v>
      </c>
      <c r="J42">
        <v>0</v>
      </c>
      <c r="K42">
        <v>1</v>
      </c>
      <c r="L42">
        <v>1</v>
      </c>
      <c r="M42">
        <v>1</v>
      </c>
      <c r="N42">
        <v>1</v>
      </c>
      <c r="O42">
        <v>1</v>
      </c>
      <c r="P42">
        <v>1</v>
      </c>
      <c r="Q42">
        <v>1</v>
      </c>
      <c r="R42">
        <v>0</v>
      </c>
      <c r="S42">
        <v>1</v>
      </c>
      <c r="T42">
        <v>1</v>
      </c>
      <c r="U42">
        <v>0</v>
      </c>
      <c r="V42">
        <v>1</v>
      </c>
      <c r="W42">
        <v>1</v>
      </c>
      <c r="X42">
        <v>1</v>
      </c>
      <c r="Y42">
        <v>1</v>
      </c>
      <c r="Z42">
        <v>0</v>
      </c>
    </row>
    <row r="43" spans="1:26">
      <c r="A43" s="154" t="s">
        <v>376</v>
      </c>
      <c r="B43">
        <v>1</v>
      </c>
      <c r="C43">
        <v>1</v>
      </c>
      <c r="D43">
        <v>1</v>
      </c>
      <c r="E43">
        <v>1</v>
      </c>
      <c r="F43">
        <v>1</v>
      </c>
      <c r="G43">
        <v>1</v>
      </c>
      <c r="H43">
        <v>1</v>
      </c>
      <c r="I43">
        <v>1</v>
      </c>
      <c r="J43">
        <v>0</v>
      </c>
      <c r="K43">
        <v>1</v>
      </c>
      <c r="L43">
        <v>1</v>
      </c>
      <c r="M43">
        <v>1</v>
      </c>
      <c r="N43">
        <v>1</v>
      </c>
      <c r="O43">
        <v>1</v>
      </c>
      <c r="P43">
        <v>1</v>
      </c>
      <c r="Q43">
        <v>1</v>
      </c>
      <c r="R43">
        <v>1</v>
      </c>
      <c r="S43">
        <v>1</v>
      </c>
      <c r="T43">
        <v>1</v>
      </c>
      <c r="U43">
        <v>0</v>
      </c>
      <c r="V43">
        <v>0</v>
      </c>
      <c r="W43">
        <v>0</v>
      </c>
      <c r="X43">
        <v>1</v>
      </c>
      <c r="Y43">
        <v>1</v>
      </c>
      <c r="Z43">
        <v>1</v>
      </c>
    </row>
    <row r="44" spans="1:26">
      <c r="A44" s="154" t="s">
        <v>323</v>
      </c>
      <c r="B44">
        <v>1</v>
      </c>
      <c r="C44">
        <v>1</v>
      </c>
      <c r="D44">
        <v>1</v>
      </c>
      <c r="E44">
        <v>1</v>
      </c>
      <c r="F44">
        <v>1</v>
      </c>
      <c r="G44">
        <v>1</v>
      </c>
      <c r="H44">
        <v>1</v>
      </c>
      <c r="I44">
        <v>1</v>
      </c>
      <c r="J44">
        <v>1</v>
      </c>
      <c r="K44">
        <v>1</v>
      </c>
      <c r="L44">
        <v>1</v>
      </c>
      <c r="M44">
        <v>1</v>
      </c>
      <c r="N44">
        <v>1</v>
      </c>
      <c r="O44">
        <v>1</v>
      </c>
      <c r="P44">
        <v>1</v>
      </c>
      <c r="Q44">
        <v>0</v>
      </c>
      <c r="R44">
        <v>1</v>
      </c>
      <c r="S44">
        <v>1</v>
      </c>
      <c r="T44">
        <v>1</v>
      </c>
      <c r="U44">
        <v>0</v>
      </c>
      <c r="V44">
        <v>0</v>
      </c>
      <c r="W44">
        <v>0</v>
      </c>
      <c r="X44">
        <v>0</v>
      </c>
      <c r="Y44">
        <v>1</v>
      </c>
      <c r="Z44">
        <v>0</v>
      </c>
    </row>
    <row r="45" spans="1:26">
      <c r="A45" s="154" t="s">
        <v>340</v>
      </c>
      <c r="B45">
        <v>1</v>
      </c>
      <c r="C45">
        <v>1</v>
      </c>
      <c r="D45">
        <v>1</v>
      </c>
      <c r="E45">
        <v>1</v>
      </c>
      <c r="F45">
        <v>1</v>
      </c>
      <c r="G45">
        <v>1</v>
      </c>
      <c r="H45">
        <v>1</v>
      </c>
      <c r="I45">
        <v>1</v>
      </c>
      <c r="J45">
        <v>0</v>
      </c>
      <c r="K45">
        <v>1</v>
      </c>
      <c r="L45">
        <v>1</v>
      </c>
      <c r="M45">
        <v>1</v>
      </c>
      <c r="N45">
        <v>1</v>
      </c>
      <c r="O45">
        <v>1</v>
      </c>
      <c r="P45">
        <v>1</v>
      </c>
      <c r="Q45">
        <v>0</v>
      </c>
      <c r="R45">
        <v>1</v>
      </c>
      <c r="S45">
        <v>1</v>
      </c>
      <c r="T45">
        <v>0</v>
      </c>
      <c r="U45">
        <v>0</v>
      </c>
      <c r="V45">
        <v>0</v>
      </c>
      <c r="W45">
        <v>0</v>
      </c>
      <c r="X45">
        <v>1</v>
      </c>
      <c r="Y45">
        <v>1</v>
      </c>
      <c r="Z45">
        <v>0</v>
      </c>
    </row>
    <row r="46" spans="1:26">
      <c r="A46" s="154" t="s">
        <v>324</v>
      </c>
      <c r="B46">
        <v>1</v>
      </c>
      <c r="C46">
        <v>1</v>
      </c>
      <c r="D46">
        <v>1</v>
      </c>
      <c r="E46">
        <v>1</v>
      </c>
      <c r="F46">
        <v>1</v>
      </c>
      <c r="G46">
        <v>1</v>
      </c>
      <c r="H46">
        <v>1</v>
      </c>
      <c r="I46">
        <v>1</v>
      </c>
      <c r="J46">
        <v>0</v>
      </c>
      <c r="K46">
        <v>1</v>
      </c>
      <c r="L46">
        <v>1</v>
      </c>
      <c r="M46">
        <v>1</v>
      </c>
      <c r="N46">
        <v>1</v>
      </c>
      <c r="O46">
        <v>1</v>
      </c>
      <c r="P46">
        <v>1</v>
      </c>
      <c r="Q46">
        <v>1</v>
      </c>
      <c r="R46">
        <v>1</v>
      </c>
      <c r="S46">
        <v>1</v>
      </c>
      <c r="T46">
        <v>1</v>
      </c>
      <c r="U46">
        <v>1</v>
      </c>
      <c r="V46">
        <v>0</v>
      </c>
      <c r="W46">
        <v>0</v>
      </c>
      <c r="X46">
        <v>1</v>
      </c>
      <c r="Y46">
        <v>1</v>
      </c>
      <c r="Z46">
        <v>0</v>
      </c>
    </row>
    <row r="47" spans="1:26">
      <c r="A47" s="154" t="s">
        <v>361</v>
      </c>
      <c r="B47">
        <v>1</v>
      </c>
      <c r="C47">
        <v>1</v>
      </c>
      <c r="D47">
        <v>1</v>
      </c>
      <c r="E47">
        <v>1</v>
      </c>
      <c r="F47">
        <v>1</v>
      </c>
      <c r="G47">
        <v>1</v>
      </c>
      <c r="H47">
        <v>1</v>
      </c>
      <c r="I47">
        <v>1</v>
      </c>
      <c r="J47">
        <v>1</v>
      </c>
      <c r="K47">
        <v>1</v>
      </c>
      <c r="L47">
        <v>1</v>
      </c>
      <c r="M47">
        <v>1</v>
      </c>
      <c r="N47">
        <v>1</v>
      </c>
      <c r="O47">
        <v>1</v>
      </c>
      <c r="P47">
        <v>1</v>
      </c>
      <c r="Q47">
        <v>0</v>
      </c>
      <c r="R47">
        <v>1</v>
      </c>
      <c r="S47">
        <v>1</v>
      </c>
      <c r="T47">
        <v>1</v>
      </c>
      <c r="U47">
        <v>1</v>
      </c>
      <c r="V47">
        <v>0</v>
      </c>
      <c r="W47">
        <v>0</v>
      </c>
      <c r="X47">
        <v>1</v>
      </c>
      <c r="Y47">
        <v>1</v>
      </c>
      <c r="Z47">
        <v>0</v>
      </c>
    </row>
    <row r="48" spans="1:26" ht="16.5" thickBot="1">
      <c r="A48" s="154" t="s">
        <v>325</v>
      </c>
      <c r="B48">
        <v>1</v>
      </c>
      <c r="C48">
        <v>1</v>
      </c>
      <c r="D48">
        <v>1</v>
      </c>
      <c r="E48">
        <v>1</v>
      </c>
      <c r="F48">
        <v>1</v>
      </c>
      <c r="G48">
        <v>1</v>
      </c>
      <c r="H48">
        <v>1</v>
      </c>
      <c r="I48">
        <v>1</v>
      </c>
      <c r="J48">
        <v>1</v>
      </c>
      <c r="K48">
        <v>1</v>
      </c>
      <c r="L48">
        <v>1</v>
      </c>
      <c r="M48">
        <v>1</v>
      </c>
      <c r="N48">
        <v>1</v>
      </c>
      <c r="O48">
        <v>1</v>
      </c>
      <c r="P48">
        <v>1</v>
      </c>
      <c r="Q48">
        <v>1</v>
      </c>
      <c r="R48">
        <v>1</v>
      </c>
      <c r="S48">
        <v>1</v>
      </c>
      <c r="T48">
        <v>1</v>
      </c>
      <c r="U48">
        <v>1</v>
      </c>
      <c r="V48">
        <v>0</v>
      </c>
      <c r="W48">
        <v>0</v>
      </c>
      <c r="X48">
        <v>0</v>
      </c>
      <c r="Y48">
        <v>1</v>
      </c>
      <c r="Z48">
        <v>0</v>
      </c>
    </row>
    <row r="49" spans="1:26" ht="16.5" thickBot="1">
      <c r="A49" s="204" t="s">
        <v>1680</v>
      </c>
    </row>
    <row r="50" spans="1:26">
      <c r="A50" s="176" t="s">
        <v>330</v>
      </c>
      <c r="B50">
        <v>1</v>
      </c>
      <c r="C50">
        <v>1</v>
      </c>
      <c r="D50">
        <v>1</v>
      </c>
      <c r="E50">
        <v>1</v>
      </c>
      <c r="F50">
        <v>1</v>
      </c>
      <c r="G50">
        <v>1</v>
      </c>
      <c r="H50">
        <v>1</v>
      </c>
      <c r="I50">
        <v>1</v>
      </c>
      <c r="J50">
        <v>1</v>
      </c>
      <c r="K50">
        <v>1</v>
      </c>
      <c r="L50">
        <v>1</v>
      </c>
      <c r="M50">
        <v>1</v>
      </c>
      <c r="N50">
        <v>1</v>
      </c>
      <c r="O50">
        <v>1</v>
      </c>
      <c r="P50">
        <v>1</v>
      </c>
      <c r="Q50">
        <v>0</v>
      </c>
      <c r="R50">
        <v>1</v>
      </c>
      <c r="S50">
        <v>1</v>
      </c>
      <c r="T50">
        <v>1</v>
      </c>
      <c r="U50">
        <v>1</v>
      </c>
      <c r="V50">
        <v>0</v>
      </c>
      <c r="W50">
        <v>0</v>
      </c>
      <c r="X50">
        <v>1</v>
      </c>
      <c r="Y50">
        <v>1</v>
      </c>
      <c r="Z50">
        <v>0</v>
      </c>
    </row>
    <row r="51" spans="1:26">
      <c r="A51" s="176" t="s">
        <v>1681</v>
      </c>
    </row>
    <row r="52" spans="1:26">
      <c r="A52" s="154" t="s">
        <v>345</v>
      </c>
      <c r="B52">
        <v>1</v>
      </c>
      <c r="C52">
        <v>1</v>
      </c>
      <c r="D52">
        <v>1</v>
      </c>
      <c r="E52">
        <v>1</v>
      </c>
      <c r="F52">
        <v>1</v>
      </c>
      <c r="G52">
        <v>1</v>
      </c>
      <c r="H52">
        <v>0</v>
      </c>
      <c r="I52">
        <v>0</v>
      </c>
      <c r="J52" t="s">
        <v>1678</v>
      </c>
      <c r="K52" t="s">
        <v>1678</v>
      </c>
      <c r="L52">
        <v>1</v>
      </c>
      <c r="M52">
        <v>1</v>
      </c>
      <c r="N52">
        <v>1</v>
      </c>
      <c r="O52">
        <v>1</v>
      </c>
      <c r="P52">
        <v>0</v>
      </c>
      <c r="Q52">
        <v>0</v>
      </c>
      <c r="R52">
        <v>1</v>
      </c>
      <c r="S52">
        <v>1</v>
      </c>
      <c r="T52">
        <v>0</v>
      </c>
      <c r="U52">
        <v>0</v>
      </c>
      <c r="V52">
        <v>0</v>
      </c>
      <c r="W52">
        <v>0</v>
      </c>
      <c r="X52">
        <v>0</v>
      </c>
      <c r="Y52">
        <v>1</v>
      </c>
      <c r="Z52">
        <v>0</v>
      </c>
    </row>
    <row r="53" spans="1:26" ht="16.5" thickBot="1">
      <c r="A53" s="174" t="s">
        <v>344</v>
      </c>
      <c r="B53">
        <v>1</v>
      </c>
      <c r="C53">
        <v>1</v>
      </c>
      <c r="D53">
        <v>1</v>
      </c>
      <c r="E53">
        <v>1</v>
      </c>
      <c r="F53">
        <v>1</v>
      </c>
      <c r="G53">
        <v>1</v>
      </c>
      <c r="H53">
        <v>1</v>
      </c>
      <c r="I53">
        <v>1</v>
      </c>
      <c r="J53">
        <v>1</v>
      </c>
      <c r="K53">
        <v>1</v>
      </c>
      <c r="L53">
        <v>1</v>
      </c>
      <c r="M53">
        <v>1</v>
      </c>
      <c r="N53">
        <v>1</v>
      </c>
      <c r="O53">
        <v>1</v>
      </c>
      <c r="P53">
        <v>1</v>
      </c>
      <c r="Q53">
        <v>0</v>
      </c>
      <c r="R53">
        <v>1</v>
      </c>
      <c r="S53">
        <v>1</v>
      </c>
      <c r="T53">
        <v>0</v>
      </c>
      <c r="U53">
        <v>1</v>
      </c>
      <c r="V53">
        <v>0</v>
      </c>
      <c r="W53">
        <v>0</v>
      </c>
      <c r="X53">
        <v>1</v>
      </c>
      <c r="Y53">
        <v>1</v>
      </c>
      <c r="Z53">
        <v>1</v>
      </c>
    </row>
    <row r="54" spans="1:26" ht="16.5" thickBot="1">
      <c r="A54" s="167" t="s">
        <v>1682</v>
      </c>
    </row>
    <row r="55" spans="1:26">
      <c r="A55" s="153" t="s">
        <v>332</v>
      </c>
      <c r="B55">
        <v>1</v>
      </c>
      <c r="C55">
        <v>1</v>
      </c>
      <c r="D55">
        <v>1</v>
      </c>
      <c r="E55">
        <v>1</v>
      </c>
      <c r="F55">
        <v>1</v>
      </c>
      <c r="G55">
        <v>1</v>
      </c>
      <c r="H55">
        <v>1</v>
      </c>
      <c r="I55">
        <v>0</v>
      </c>
      <c r="J55" t="s">
        <v>1678</v>
      </c>
      <c r="K55" t="s">
        <v>1678</v>
      </c>
      <c r="L55">
        <v>1</v>
      </c>
      <c r="M55">
        <v>1</v>
      </c>
      <c r="N55">
        <v>1</v>
      </c>
      <c r="O55">
        <v>1</v>
      </c>
      <c r="P55">
        <v>1</v>
      </c>
      <c r="Q55">
        <v>0</v>
      </c>
      <c r="R55">
        <v>0</v>
      </c>
      <c r="S55">
        <v>1</v>
      </c>
      <c r="T55">
        <v>0</v>
      </c>
      <c r="U55">
        <v>0</v>
      </c>
      <c r="V55">
        <v>0</v>
      </c>
      <c r="W55">
        <v>0</v>
      </c>
      <c r="X55">
        <v>0</v>
      </c>
      <c r="Y55">
        <v>1</v>
      </c>
      <c r="Z55">
        <v>0</v>
      </c>
    </row>
    <row r="56" spans="1:26">
      <c r="A56" s="154" t="s">
        <v>377</v>
      </c>
      <c r="B56">
        <v>1</v>
      </c>
      <c r="C56">
        <v>1</v>
      </c>
      <c r="D56">
        <v>1</v>
      </c>
      <c r="E56">
        <v>1</v>
      </c>
      <c r="F56">
        <v>1</v>
      </c>
      <c r="G56">
        <v>1</v>
      </c>
      <c r="H56">
        <v>1</v>
      </c>
      <c r="I56">
        <v>0</v>
      </c>
      <c r="J56" t="s">
        <v>1678</v>
      </c>
      <c r="K56" t="s">
        <v>1678</v>
      </c>
      <c r="L56">
        <v>1</v>
      </c>
      <c r="M56">
        <v>1</v>
      </c>
      <c r="N56">
        <v>1</v>
      </c>
      <c r="O56">
        <v>1</v>
      </c>
      <c r="P56">
        <v>1</v>
      </c>
      <c r="Q56">
        <v>0</v>
      </c>
      <c r="R56">
        <v>1</v>
      </c>
      <c r="S56">
        <v>0</v>
      </c>
      <c r="T56">
        <v>0</v>
      </c>
      <c r="U56">
        <v>0</v>
      </c>
      <c r="V56">
        <v>1</v>
      </c>
      <c r="W56">
        <v>1</v>
      </c>
      <c r="X56">
        <v>1</v>
      </c>
      <c r="Y56">
        <v>1</v>
      </c>
      <c r="Z56">
        <v>0</v>
      </c>
    </row>
    <row r="57" spans="1:26">
      <c r="A57" s="167" t="s">
        <v>327</v>
      </c>
      <c r="B57">
        <v>1</v>
      </c>
      <c r="C57">
        <v>1</v>
      </c>
      <c r="D57">
        <v>1</v>
      </c>
      <c r="E57">
        <v>1</v>
      </c>
      <c r="F57">
        <v>1</v>
      </c>
      <c r="G57">
        <v>1</v>
      </c>
      <c r="H57">
        <v>1</v>
      </c>
      <c r="I57">
        <v>1</v>
      </c>
      <c r="J57">
        <v>1</v>
      </c>
      <c r="K57">
        <v>1</v>
      </c>
      <c r="L57">
        <v>1</v>
      </c>
      <c r="M57">
        <v>1</v>
      </c>
      <c r="N57">
        <v>1</v>
      </c>
      <c r="O57">
        <v>0</v>
      </c>
      <c r="P57">
        <v>1</v>
      </c>
      <c r="Q57">
        <v>1</v>
      </c>
      <c r="R57">
        <v>1</v>
      </c>
      <c r="S57">
        <v>1</v>
      </c>
      <c r="T57">
        <v>1</v>
      </c>
      <c r="U57">
        <v>0</v>
      </c>
      <c r="V57">
        <v>0</v>
      </c>
      <c r="W57">
        <v>0</v>
      </c>
      <c r="X57">
        <v>1</v>
      </c>
      <c r="Y57">
        <v>1</v>
      </c>
      <c r="Z57">
        <v>1</v>
      </c>
    </row>
    <row r="58" spans="1:26">
      <c r="A58" s="154" t="s">
        <v>363</v>
      </c>
      <c r="B58">
        <v>1</v>
      </c>
      <c r="C58">
        <v>1</v>
      </c>
      <c r="D58">
        <v>1</v>
      </c>
      <c r="E58">
        <v>1</v>
      </c>
      <c r="F58">
        <v>1</v>
      </c>
      <c r="G58">
        <v>1</v>
      </c>
      <c r="H58">
        <v>1</v>
      </c>
      <c r="I58">
        <v>0</v>
      </c>
      <c r="J58" t="s">
        <v>1678</v>
      </c>
      <c r="K58" t="s">
        <v>1678</v>
      </c>
      <c r="L58">
        <v>1</v>
      </c>
      <c r="M58">
        <v>1</v>
      </c>
      <c r="N58">
        <v>1</v>
      </c>
      <c r="O58">
        <v>1</v>
      </c>
      <c r="P58">
        <v>0</v>
      </c>
      <c r="Q58">
        <v>0</v>
      </c>
      <c r="R58">
        <v>0</v>
      </c>
      <c r="S58">
        <v>1</v>
      </c>
      <c r="T58">
        <v>0</v>
      </c>
      <c r="U58">
        <v>1</v>
      </c>
      <c r="V58">
        <v>0</v>
      </c>
      <c r="W58">
        <v>0</v>
      </c>
      <c r="X58">
        <v>0</v>
      </c>
      <c r="Y58">
        <v>1</v>
      </c>
      <c r="Z58">
        <v>0</v>
      </c>
    </row>
    <row r="59" spans="1:26">
      <c r="A59" s="154" t="s">
        <v>371</v>
      </c>
      <c r="B59">
        <v>1</v>
      </c>
      <c r="C59">
        <v>1</v>
      </c>
      <c r="D59">
        <v>1</v>
      </c>
      <c r="E59">
        <v>1</v>
      </c>
      <c r="F59">
        <v>1</v>
      </c>
      <c r="G59">
        <v>1</v>
      </c>
      <c r="H59">
        <v>1</v>
      </c>
      <c r="I59">
        <v>1</v>
      </c>
      <c r="J59">
        <v>0</v>
      </c>
      <c r="K59">
        <v>1</v>
      </c>
      <c r="L59">
        <v>1</v>
      </c>
      <c r="M59">
        <v>1</v>
      </c>
      <c r="N59">
        <v>1</v>
      </c>
      <c r="O59">
        <v>1</v>
      </c>
      <c r="P59">
        <v>1</v>
      </c>
      <c r="Q59">
        <v>0</v>
      </c>
      <c r="R59">
        <v>0</v>
      </c>
      <c r="S59">
        <v>1</v>
      </c>
      <c r="T59">
        <v>1</v>
      </c>
      <c r="U59">
        <v>0</v>
      </c>
      <c r="V59">
        <v>0</v>
      </c>
      <c r="W59">
        <v>0</v>
      </c>
      <c r="X59">
        <v>1</v>
      </c>
      <c r="Y59">
        <v>1</v>
      </c>
      <c r="Z59">
        <v>0</v>
      </c>
    </row>
    <row r="60" spans="1:26">
      <c r="A60" s="167" t="s">
        <v>351</v>
      </c>
      <c r="B60">
        <v>1</v>
      </c>
      <c r="C60">
        <v>1</v>
      </c>
      <c r="D60">
        <v>1</v>
      </c>
      <c r="E60">
        <v>1</v>
      </c>
      <c r="F60">
        <v>1</v>
      </c>
      <c r="G60">
        <v>1</v>
      </c>
      <c r="H60">
        <v>1</v>
      </c>
      <c r="I60">
        <v>1</v>
      </c>
      <c r="J60">
        <v>0</v>
      </c>
      <c r="K60">
        <v>1</v>
      </c>
      <c r="L60">
        <v>1</v>
      </c>
      <c r="M60">
        <v>1</v>
      </c>
      <c r="N60">
        <v>1</v>
      </c>
      <c r="O60">
        <v>1</v>
      </c>
      <c r="P60">
        <v>1</v>
      </c>
      <c r="Q60">
        <v>0</v>
      </c>
      <c r="R60">
        <v>0</v>
      </c>
      <c r="S60">
        <v>1</v>
      </c>
      <c r="T60">
        <v>1</v>
      </c>
      <c r="U60">
        <v>0</v>
      </c>
      <c r="V60">
        <v>0</v>
      </c>
      <c r="W60">
        <v>0</v>
      </c>
      <c r="X60">
        <v>1</v>
      </c>
      <c r="Y60">
        <v>1</v>
      </c>
      <c r="Z60">
        <v>0</v>
      </c>
    </row>
    <row r="61" spans="1:26">
      <c r="A61" s="154" t="s">
        <v>366</v>
      </c>
      <c r="B61">
        <v>1</v>
      </c>
      <c r="C61">
        <v>1</v>
      </c>
      <c r="D61">
        <v>1</v>
      </c>
      <c r="E61">
        <v>1</v>
      </c>
      <c r="F61">
        <v>1</v>
      </c>
      <c r="G61">
        <v>1</v>
      </c>
      <c r="H61">
        <v>1</v>
      </c>
      <c r="I61">
        <v>1</v>
      </c>
      <c r="J61">
        <v>0</v>
      </c>
      <c r="K61" t="s">
        <v>1678</v>
      </c>
      <c r="L61">
        <v>1</v>
      </c>
      <c r="M61">
        <v>1</v>
      </c>
      <c r="N61">
        <v>1</v>
      </c>
      <c r="O61">
        <v>1</v>
      </c>
      <c r="P61">
        <v>1</v>
      </c>
      <c r="Q61">
        <v>0</v>
      </c>
      <c r="R61">
        <v>0</v>
      </c>
      <c r="S61">
        <v>1</v>
      </c>
      <c r="T61">
        <v>0</v>
      </c>
      <c r="U61">
        <v>1</v>
      </c>
      <c r="V61">
        <v>0</v>
      </c>
      <c r="W61">
        <v>0</v>
      </c>
      <c r="X61">
        <v>0</v>
      </c>
      <c r="Y61">
        <v>1</v>
      </c>
      <c r="Z61">
        <v>0</v>
      </c>
    </row>
    <row r="62" spans="1:26">
      <c r="A62" s="154" t="s">
        <v>355</v>
      </c>
      <c r="B62">
        <v>1</v>
      </c>
      <c r="C62">
        <v>1</v>
      </c>
      <c r="D62">
        <v>1</v>
      </c>
      <c r="E62">
        <v>1</v>
      </c>
      <c r="F62">
        <v>1</v>
      </c>
      <c r="G62">
        <v>1</v>
      </c>
      <c r="H62">
        <v>1</v>
      </c>
      <c r="I62">
        <v>1</v>
      </c>
      <c r="J62">
        <v>1</v>
      </c>
      <c r="K62">
        <v>1</v>
      </c>
      <c r="L62">
        <v>1</v>
      </c>
      <c r="M62">
        <v>1</v>
      </c>
      <c r="N62">
        <v>1</v>
      </c>
      <c r="O62">
        <v>1</v>
      </c>
      <c r="P62">
        <v>1</v>
      </c>
      <c r="Q62">
        <v>1</v>
      </c>
      <c r="R62">
        <v>1</v>
      </c>
      <c r="S62">
        <v>1</v>
      </c>
      <c r="T62">
        <v>1</v>
      </c>
      <c r="U62">
        <v>1</v>
      </c>
      <c r="V62">
        <v>0</v>
      </c>
      <c r="W62">
        <v>0</v>
      </c>
      <c r="X62">
        <v>1</v>
      </c>
      <c r="Y62">
        <v>1</v>
      </c>
      <c r="Z62">
        <v>0</v>
      </c>
    </row>
    <row r="63" spans="1:26">
      <c r="A63" s="154" t="s">
        <v>378</v>
      </c>
      <c r="B63">
        <v>1</v>
      </c>
      <c r="C63">
        <v>1</v>
      </c>
      <c r="D63">
        <v>1</v>
      </c>
      <c r="E63">
        <v>1</v>
      </c>
      <c r="F63">
        <v>1</v>
      </c>
      <c r="G63">
        <v>1</v>
      </c>
      <c r="H63">
        <v>1</v>
      </c>
      <c r="I63">
        <v>1</v>
      </c>
      <c r="J63">
        <v>1</v>
      </c>
      <c r="K63">
        <v>1</v>
      </c>
      <c r="L63">
        <v>1</v>
      </c>
      <c r="M63">
        <v>1</v>
      </c>
      <c r="N63">
        <v>1</v>
      </c>
      <c r="O63">
        <v>1</v>
      </c>
      <c r="P63">
        <v>1</v>
      </c>
      <c r="Q63">
        <v>0</v>
      </c>
      <c r="R63">
        <v>1</v>
      </c>
      <c r="S63">
        <v>1</v>
      </c>
      <c r="T63">
        <v>1</v>
      </c>
      <c r="U63">
        <v>1</v>
      </c>
      <c r="V63">
        <v>0</v>
      </c>
      <c r="W63">
        <v>0</v>
      </c>
      <c r="X63">
        <v>0</v>
      </c>
      <c r="Y63">
        <v>1</v>
      </c>
      <c r="Z63">
        <v>0</v>
      </c>
    </row>
    <row r="64" spans="1:26">
      <c r="A64" s="154" t="s">
        <v>1683</v>
      </c>
    </row>
    <row r="65" spans="1:26">
      <c r="A65" s="167" t="s">
        <v>328</v>
      </c>
      <c r="B65">
        <v>1</v>
      </c>
      <c r="C65">
        <v>1</v>
      </c>
      <c r="D65">
        <v>1</v>
      </c>
      <c r="E65">
        <v>1</v>
      </c>
      <c r="F65">
        <v>1</v>
      </c>
      <c r="G65">
        <v>1</v>
      </c>
      <c r="H65">
        <v>1</v>
      </c>
      <c r="I65">
        <v>1</v>
      </c>
      <c r="J65">
        <v>1</v>
      </c>
      <c r="K65">
        <v>1</v>
      </c>
      <c r="L65">
        <v>1</v>
      </c>
      <c r="M65">
        <v>1</v>
      </c>
      <c r="N65">
        <v>1</v>
      </c>
      <c r="O65">
        <v>1</v>
      </c>
      <c r="P65">
        <v>1</v>
      </c>
      <c r="Q65">
        <v>0</v>
      </c>
      <c r="R65">
        <v>1</v>
      </c>
      <c r="S65">
        <v>1</v>
      </c>
      <c r="T65">
        <v>0</v>
      </c>
      <c r="U65">
        <v>1</v>
      </c>
      <c r="V65">
        <v>0</v>
      </c>
      <c r="W65">
        <v>0</v>
      </c>
      <c r="X65">
        <v>0</v>
      </c>
      <c r="Y65">
        <v>1</v>
      </c>
      <c r="Z65">
        <v>0</v>
      </c>
    </row>
    <row r="66" spans="1:26" ht="16.5" thickBot="1">
      <c r="A66" s="154" t="s">
        <v>379</v>
      </c>
      <c r="B66">
        <v>1</v>
      </c>
      <c r="C66">
        <v>1</v>
      </c>
      <c r="D66">
        <v>1</v>
      </c>
      <c r="E66">
        <v>1</v>
      </c>
      <c r="F66">
        <v>1</v>
      </c>
      <c r="G66">
        <v>1</v>
      </c>
      <c r="H66">
        <v>1</v>
      </c>
      <c r="I66">
        <v>1</v>
      </c>
      <c r="J66">
        <v>1</v>
      </c>
      <c r="K66">
        <v>1</v>
      </c>
      <c r="L66">
        <v>1</v>
      </c>
      <c r="M66">
        <v>1</v>
      </c>
      <c r="N66">
        <v>1</v>
      </c>
      <c r="O66">
        <v>1</v>
      </c>
      <c r="P66">
        <v>1</v>
      </c>
      <c r="Q66">
        <v>0</v>
      </c>
      <c r="R66">
        <v>0</v>
      </c>
      <c r="S66">
        <v>1</v>
      </c>
      <c r="T66">
        <v>1</v>
      </c>
      <c r="U66">
        <v>0</v>
      </c>
      <c r="V66">
        <v>1</v>
      </c>
      <c r="W66">
        <v>1</v>
      </c>
      <c r="X66">
        <v>1</v>
      </c>
      <c r="Y66">
        <v>1</v>
      </c>
      <c r="Z66">
        <v>0</v>
      </c>
    </row>
    <row r="67" spans="1:26" ht="16.5" thickBot="1">
      <c r="A67" s="204" t="s">
        <v>1684</v>
      </c>
    </row>
    <row r="68" spans="1:26" ht="16.5" thickBot="1">
      <c r="A68" s="174" t="s">
        <v>380</v>
      </c>
      <c r="B68">
        <v>1</v>
      </c>
      <c r="C68">
        <v>1</v>
      </c>
      <c r="D68">
        <v>1</v>
      </c>
      <c r="E68">
        <v>1</v>
      </c>
      <c r="F68">
        <v>1</v>
      </c>
      <c r="G68">
        <v>1</v>
      </c>
      <c r="H68">
        <v>1</v>
      </c>
      <c r="I68">
        <v>1</v>
      </c>
      <c r="J68">
        <v>0</v>
      </c>
      <c r="K68" t="s">
        <v>1678</v>
      </c>
      <c r="L68">
        <v>1</v>
      </c>
      <c r="M68">
        <v>1</v>
      </c>
      <c r="N68">
        <v>1</v>
      </c>
      <c r="O68">
        <v>1</v>
      </c>
      <c r="P68">
        <v>1</v>
      </c>
      <c r="Q68">
        <v>1</v>
      </c>
      <c r="R68">
        <v>1</v>
      </c>
      <c r="S68">
        <v>1</v>
      </c>
      <c r="T68">
        <v>1</v>
      </c>
      <c r="U68">
        <v>0</v>
      </c>
      <c r="V68">
        <v>0</v>
      </c>
      <c r="W68">
        <v>0</v>
      </c>
      <c r="X68">
        <v>1</v>
      </c>
      <c r="Y68">
        <v>1</v>
      </c>
      <c r="Z68">
        <v>0</v>
      </c>
    </row>
  </sheetData>
  <phoneticPr fontId="7" type="noConversion"/>
  <dataValidations count="1">
    <dataValidation type="list" allowBlank="1" showInputMessage="1" showErrorMessage="1" sqref="T50:Z52 B41:S41 U41:Z41 S52 B42:Z49 B53:Z68 B50:R52 B2:Z40" xr:uid="{7E87D079-8408-440F-9906-3612BD000F16}">
      <formula1>"0,1,NA"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Bar chart</vt:lpstr>
      <vt:lpstr>Sheet4</vt:lpstr>
      <vt:lpstr>Sheet3</vt:lpstr>
      <vt:lpstr>Sheet1</vt:lpstr>
      <vt:lpstr>Sheet2</vt:lpstr>
      <vt:lpstr>List of included studies</vt:lpstr>
      <vt:lpstr>Checklist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 Emslander</dc:creator>
  <cp:lastModifiedBy>Ludvik Edvardsen</cp:lastModifiedBy>
  <dcterms:created xsi:type="dcterms:W3CDTF">2024-09-06T13:43:40Z</dcterms:created>
  <dcterms:modified xsi:type="dcterms:W3CDTF">2026-03-14T15:13:25Z</dcterms:modified>
</cp:coreProperties>
</file>